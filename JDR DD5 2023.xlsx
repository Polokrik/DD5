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J" sheetId="1" r:id="rId5"/>
    <sheet state="visible" name="Guilde" sheetId="2" r:id="rId6"/>
    <sheet state="visible" name="Mine de Phandelver" sheetId="3" r:id="rId7"/>
    <sheet state="visible" name="Tyranny of dragons" sheetId="4" r:id="rId8"/>
    <sheet state="visible" name="Rise of Tiamat" sheetId="5" r:id="rId9"/>
    <sheet state="visible" name="Dragonnets" sheetId="6" r:id="rId10"/>
    <sheet state="visible" name="Kill-list et XP Tyranny" sheetId="7" r:id="rId11"/>
    <sheet state="hidden" name="Proposition nom de guilde" sheetId="8" r:id="rId12"/>
    <sheet state="visible" name="Kill-list Mine Phandelver" sheetId="9" r:id="rId13"/>
    <sheet state="visible" name="Knight"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tc={1bb610a6-6996-417e-b4aa-3ff80d0b6d8c}</author>
    <author>tc={88458db0-8a0a-41b1-be3e-e1098fa3ef8b}</author>
  </authors>
  <commentList>
    <comment authorId="0" xr:uid="{1bb610a6-6996-417e-b4aa-3ff80d0b6d8c}" ref="D4">
      <text>
        <t xml:space="preserve">[Threaded comment]
 Your version of Excel allows you to read this threaded comment; however, any edits to it will get removed if the file is opened in a newer version of Excel. Learn more: https://go.microsoft.com/fwlink/?linkid=870924
Comment:
	Tonton Satin build it himself
</t>
      </text>
    </comment>
    <comment authorId="1" xr:uid="{88458db0-8a0a-41b1-be3e-e1098fa3ef8b}" ref="G8">
      <text>
        <t xml:space="preserve">[Threaded comment]
 Your version of Excel allows you to read this threaded comment; however, any edits to it will get removed if the file is opened in a newer version of Excel. Learn more: https://go.microsoft.com/fwlink/?linkid=870924
Comment:
	toutes les plantes et les animaux sont mes amis &lt;3
</t>
      </text>
    </comment>
  </commentList>
</comments>
</file>

<file path=xl/sharedStrings.xml><?xml version="1.0" encoding="utf-8"?>
<sst xmlns="http://schemas.openxmlformats.org/spreadsheetml/2006/main" count="989" uniqueCount="930">
  <si>
    <t>Lien vers les options</t>
  </si>
  <si>
    <t>La guilde du Clan D'estain nous envoie dans la ville de Verdure (fondée par un halfelin Dharva CoeurEpar) pour une mission d'escort'girl ou boy</t>
  </si>
  <si>
    <t>La compagnie de notre groupe se forme de Bjolnir HautMarteau, paladin, Ellyjobell, druidesse, Sislay Baite, Rodeuse, Darrin, Ensorceleur et de Drekhtar, Guerrier.</t>
  </si>
  <si>
    <t>Nous avons été envoyés dans la ville de Verdure pour escorter un marchand mais également pour rejoindre un ami des fondateurs de la guilde (le drakéide)</t>
  </si>
  <si>
    <t>DD5 - Compagnie de Mercenaires</t>
  </si>
  <si>
    <t xml:space="preserve">A notre arrivée près de la ville, elle brûle et c'est le chaos : un dragon !! </t>
  </si>
  <si>
    <t>On croise également des kobolds et le premier groupe s'en va sans faire plus de dégats grâce au pouvoir de persuasion de Bjolnir,</t>
  </si>
  <si>
    <t>Le deuxième groupe oppose plus de résistance alors que nous nous opposons à eux pour protéger des civils</t>
  </si>
  <si>
    <t>Après avoir occis le deuxième groupe de kobolds, nous aidons Dame Linan et sa famille à arriver à la forteresse du seigneur Nighthill pour les mettre à l'abri,</t>
  </si>
  <si>
    <t>Un nouveau groupe de bandits nous intercepte. Mais nous les éliminons également. Après avoir fait un prisonnier, nous apprenons qu'ils sont membre d'un culte qui prépare l'arrivée de la reine des dragons.</t>
  </si>
  <si>
    <t>Après avoir échappé aux bandits et au souffle du dragon et avoir sauvé un nombre non négligeable de villageois, nous avons réussi à nous mettre à l'abri dans la forteresse.</t>
  </si>
  <si>
    <t>Rhada</t>
  </si>
  <si>
    <t>Un homme d'une 60aine d'année s'approche de nous pour nous accueillir, il est visiblement blessé. C'est le gouverneur Nighthill.</t>
  </si>
  <si>
    <t>Un nain des montagnes est également tout proche et hèle gouverneur, c'est Escobert le rouge qui est le principal second du gouverneur.</t>
  </si>
  <si>
    <t>Nighthill, nous demande d'éliminer les responsables et d'obtenir des informations.</t>
  </si>
  <si>
    <t>Un vieux tunnel peut nous amener du chateau vers la rivière.</t>
  </si>
  <si>
    <t>Les endroits principaux à visiter devraient être le sanctuaire de Shantea et le moulin</t>
  </si>
  <si>
    <t>Camille</t>
  </si>
  <si>
    <t>Escobert après avoir discuté avec nous, sonne l'alarme car des bandits tentent de rentrer par la poterne.</t>
  </si>
  <si>
    <t>Après de sérieuses batailles, la porte est réparée et nous pouvons interroger les deux pnj capturés,</t>
  </si>
  <si>
    <t>Warlock</t>
  </si>
  <si>
    <t>Durant l'interrogatoire, le cultiste confirme qu'ils sont là pour amener le règne de la reine des dragons. Ils cherchent actuellement des oeufs de dragon</t>
  </si>
  <si>
    <t>Le chef du culte est Frulam Mondath.</t>
  </si>
  <si>
    <t>Valnyris</t>
  </si>
  <si>
    <t xml:space="preserve">Requis par Gundren Cherchepierre, propriétaire des Provisions de Barthen, à
Phandaline pour une escorte de marchandises. RDV à Phandalin. Garde du corps Sildar Hallhiver. </t>
  </si>
  <si>
    <t>Après un court repos, nous décidons d'emprunter le tunnel pour nous diriger vers le temple afin de tenter de sauver les personnes probablement coincées dedans,</t>
  </si>
  <si>
    <t>Lorenzo/XXPK</t>
  </si>
  <si>
    <t>Dans le tunnel, nous croisons des hordes de rats mais Ellyjobel via une discussion et une petite illusion arrive à les éloigner pour que nous puissions passer sans encombre,</t>
  </si>
  <si>
    <t>Escorter un chariot de marchandise, pour que la marchandise arrive intacte au comptoir des ventes, récompense 10 PO par personne.</t>
  </si>
  <si>
    <t>Baal ordre des PJ non définit</t>
  </si>
  <si>
    <t>En arrivant au bout du tunnel, Darrin arrive à nous ouvrir la porte rouillée de manière experte.</t>
  </si>
  <si>
    <t>Rojo</t>
  </si>
  <si>
    <t>A l'approche du temple, nous voyons de grandes quantités d'ennemis autour mais grâce à une illusion, nous éloignons le groupe qui tente de mettre le feu à la porte sud.</t>
  </si>
  <si>
    <t>Bjolnir sait se montrer convaincant et arrive à faire sortir le prêtre et les paysans. Pour que tous se mettent à l'abri, Ellyjobel nous couvre avec une nappe de brouillard.</t>
  </si>
  <si>
    <t>Raziel</t>
  </si>
  <si>
    <t>Lors du voyage, Gundren part devant avec son  garde du corps.</t>
  </si>
  <si>
    <t>Nous ramenons alors le prêtre et tous les paysans dans le chateau.</t>
  </si>
  <si>
    <t>Un garde arrive alors et parle au gouverneur qui apprend que les pillards sont en train de tenter de mettre le feu au moulin ce qui mettrait à mal les réserves de nourriture du village.</t>
  </si>
  <si>
    <t>Lunaaz</t>
  </si>
  <si>
    <t>Peu de temps après, le groupe tombe dans une embuscade tendue par des gobelins.</t>
  </si>
  <si>
    <t>Après une embuscade déjouée et une glorieuse bataille, le moulin est sauvé.</t>
  </si>
  <si>
    <t>Alors que nous pensions pouvoir bénéficier d'un repos bien mérité, c'est à ce moment là que le dragon décide de nous attaquer,</t>
  </si>
  <si>
    <t>Le commanditaire nain est tombé dans l'embuscade plus tôt. On suit la piste et on arrive à l'entrée d'une grotte.</t>
  </si>
  <si>
    <t>WORD ICI</t>
  </si>
  <si>
    <t>Nom Personnage</t>
  </si>
  <si>
    <t>Avec un assaut glorieux combiné, nous avons réussi à chasser le dragon</t>
  </si>
  <si>
    <t>Exploration de la grotte, "dressage" de loups, prise de raccourcis et fracassage du gobelours.</t>
  </si>
  <si>
    <t>Au petit matin, une créature draconique débarque et nous défie pour un duel</t>
  </si>
  <si>
    <t>Drek'Thar se dévoue pour affronter l'immonde créature et ainsi obtenir la libération des otages</t>
  </si>
  <si>
    <t xml:space="preserve">Combat : 4 gobelins + 75xp par joueur pour la découverte de la grotte </t>
  </si>
  <si>
    <t>Malgre son courage et le soutien de ses admirateurs anonymes, il s'effondre sous les coups de Langdedrosa Cyanwrath</t>
  </si>
  <si>
    <t>Points Disponibles</t>
  </si>
  <si>
    <t>Coffre 600 pièces de cuivre, 110 PA , statuette de jade de grenouille avec orbe en guise d'yeux.</t>
  </si>
  <si>
    <t>Le gouverneur nous demande de trouver le camp des pillards, de prendre des renseignements afin de savoir d'où ils viennent et ce qu'ils préparent ainsi que de retrouver les objets de valeur de la ville</t>
  </si>
  <si>
    <t>Drek Thar</t>
  </si>
  <si>
    <t>Un apprenti de Leosine Erlanthar, moine de Berdusk, nous demande de le retrouver car il a été pris à parti durant l'attaque du temple.</t>
  </si>
  <si>
    <t>Guilde (éléments)</t>
  </si>
  <si>
    <t>Enna Naïlo</t>
  </si>
  <si>
    <t>Il était en train d'enqueter sur les pillards mais a sous-estimé leur organisation, a profité de la nuit pour s'infiltrer mais a probablement été fait prisonnier.</t>
  </si>
  <si>
    <t xml:space="preserve">L'araignée noire a enlevé Gundren au main des gobelins, nous trouvons Sildar Hallhiver, </t>
  </si>
  <si>
    <t>Ellyjobel lui demande si il aurait pas vu son ami parmi les prisonniers du groupe de pillard, c'est un demi-elfe dénommé Talis. Mais non, il ne sait pas vu qu'il est incompétent</t>
  </si>
  <si>
    <t>Le clan d'Estain</t>
  </si>
  <si>
    <t>Kairon Erudit</t>
  </si>
  <si>
    <t>Lunaaz demande si il a des infos sur les dragons mais bon il lui répond qu'il est plutot incompétent</t>
  </si>
  <si>
    <t xml:space="preserve">Interrogatoire du gobelin, Gundren a disparu avec ses affaires. Le gobleours travaillé sous ordre de Groll, chef de tribu des Cragmaw, chateau Cragmaw nord de notre position, proche bois Padhiver, </t>
  </si>
  <si>
    <t>perso1</t>
  </si>
  <si>
    <t>Le groupe répond à l'appel des deux quetes et suit la pistes des fuyards...enfin des pillards</t>
  </si>
  <si>
    <t>Base</t>
  </si>
  <si>
    <t xml:space="preserve">Rencontre avec un groupe de pillard près d'un feu de camp. Un des survivants torturé par les paroles de Bjolnir nous décrit un peu le campement au sud (1km près des falaises) qui est gardé par des sentinelles. </t>
  </si>
  <si>
    <t>325 xp + 25 points de guilde sildar + 25 pts de guilde SPA (loups)</t>
  </si>
  <si>
    <t>Darvin Mistylake</t>
  </si>
  <si>
    <t>Il raconte également qu'ils amassent un butin pour la Reine des Dragons. Il raconte qu'ils ont aussi des prisonniers.</t>
  </si>
  <si>
    <t>(SPA = Sauvetage des Poilus Amicaux)</t>
  </si>
  <si>
    <t>Ellyjobell</t>
  </si>
  <si>
    <t>Après avoir repoussé un get appen dans les montagnes, on s'approche du campement. Deux eclaireurs vont voir ce qui sy passe,</t>
  </si>
  <si>
    <t>Tyranny</t>
  </si>
  <si>
    <t>Durant la nuit, Darrin part en infiltration alors que le reste du groupe se repose</t>
  </si>
  <si>
    <t>Il nous indique la tente des officiers et la tente des prisonniers. Visiblement le déguisement utilisé est un uniforme supérieur au troufion moyen</t>
  </si>
  <si>
    <t>Alchimie (prix des potions divisés par 2)</t>
  </si>
  <si>
    <t>Nous tentons de mettre le feu à une partie du campement afin de couvrir le passage de Darrin et Drek'Thar au milieu du camp. Tandis qu'Ellyjobel passe par les buissons pour etre en fufu sur le coté.</t>
  </si>
  <si>
    <t>Suite à une évasion réalisée de main de maitre, nous libérons Leosine et les prisonniers.</t>
  </si>
  <si>
    <t>TOTAL Donné (donc avant dépense)</t>
  </si>
  <si>
    <t>Leosine est passablement ingrat en nous engueulant de l'avoir libéré</t>
  </si>
  <si>
    <t>Il fait partie d'un ordre qui étudie le culte des dragons et qui veut le contrer. Suite à l'étude des attaques de la région, il a su quelle serait la prochaine cible visée et s'est fait capturer exprès à Greenest</t>
  </si>
  <si>
    <t>Rencontre de Toblen Rochecolline à l'auberge de Rochecolline.</t>
  </si>
  <si>
    <t>Demi-dragon noir Rezzmir est installé dans le coin</t>
  </si>
  <si>
    <t>Bjolnir Hautmarteau</t>
  </si>
  <si>
    <t>Leosine nous demande d'aller voir Ontharr Frume, Paladin de Torm, qui se trouve dans la ville de Elturel. Il nous demande également de nous renseigner sur les déplacements des cultistes</t>
  </si>
  <si>
    <t>Marchandises à déposer aux Provisions de Barthen (+10 po par personne)</t>
  </si>
  <si>
    <t>Après une préparation minutieuse et réfléchie, notre groupe intrépide prend la route vers le canyon,</t>
  </si>
  <si>
    <t>Sislay Baite</t>
  </si>
  <si>
    <t>Les Fers Rouges sèment un peu la pagaille en ville.</t>
  </si>
  <si>
    <t>Depuis les hauteurs du canyon, nous pouvons constater qu'une bonne partie du campement a disparu. Apparemment, une bonne partie du campement a été déménagé vers l'ouest</t>
  </si>
  <si>
    <t>Un certain nombre de silhouettes est encore présent, uniquement des humains qui seraient encore là pour la chasse</t>
  </si>
  <si>
    <t>Race</t>
  </si>
  <si>
    <t>Marchandises rendues au LionsShield. Récompense 50 po. 40 po pour la grenouille.</t>
  </si>
  <si>
    <t>Les chasseurs sont des personnes payées par le groupe des méchants pour les nourrir</t>
  </si>
  <si>
    <t>Demi orc</t>
  </si>
  <si>
    <t>Orcs au Nord : récompense donnée par le Bourg Mestre si on les chasse</t>
  </si>
  <si>
    <t>Drek'thar se précipite comme un bourrin vers l'entrée de la grotte</t>
  </si>
  <si>
    <t>Haut Elfe</t>
  </si>
  <si>
    <t>Après notre entrée dans la grotte et une progression prudente, nous tombons sur deux premiers gardes qui n'offrent pas une grande résistance</t>
  </si>
  <si>
    <t xml:space="preserve">orcs au bout piste des 3 sangliers en direction de l'est, banshee à laquelle il faut donner peigne de la prêtresse elfe pour avoir des infos sur le grimoire de doux salut; mort de l'ébéniste et disparifion de sa famille -&gt; ont été enlevés par 3/4 fers rouges et emmenés dans le manoir ? </t>
  </si>
  <si>
    <t>Nous évitons une piège champignonesque et puis nous tombons sur une armada de chauve-souris dirigées par d'immondes stirges qui pompent affreusement Darrin</t>
  </si>
  <si>
    <t>Tieffelin</t>
  </si>
  <si>
    <t>Les frères de Gundred Nundro et Tharden ont disparus</t>
  </si>
  <si>
    <t>Nous partons vers la droite et d'immondes cadavres putréfiés sont suspendus au plafond par des crochets</t>
  </si>
  <si>
    <t>Humain</t>
  </si>
  <si>
    <t>En dehors de cet ignobe garde-manger, nous partons vers la gauche</t>
  </si>
  <si>
    <t>Halia Thornton : devenue très puissante dans la ville au fil des années + les fers rouges ont peur d'elle</t>
  </si>
  <si>
    <t>Un piège misérable fait tomber Lunaaz et Bjolnir dans quelques maigres piques et puis un groupe de kobold nous attaquent lachement</t>
  </si>
  <si>
    <t>Fer rouges en direction d'un tunnel secret pour aller au manoir abandonné, à l'est de la ville</t>
  </si>
  <si>
    <t>La salle de gauche ressemble à une salle d'entrainement</t>
  </si>
  <si>
    <t>Gnome des forêts</t>
  </si>
  <si>
    <t>Le kobold prisonnier nous a gentiment révélé les pièges de l'escalier tandis que Darrin et Lunaaz ont courageusement exploré la salle au Nord-est en finissant sur une retraite stratégique</t>
  </si>
  <si>
    <t>Sildar cherche Iarno Albrek qui était dans l'équipe de Gundren (info sur l'emplacement de la mine)</t>
  </si>
  <si>
    <t>Nous prenons une petite pause avant de monter les escaliers pour aller vers le dortoir et le repaire du demi-dragon</t>
  </si>
  <si>
    <t xml:space="preserve">Bourg Mestre : Harbin Wester -&gt; 100 po si on tue la dizaine d'orcs : </t>
  </si>
  <si>
    <t>En montant les escaliers, nous tombons sur une salle où un kobold est visible, Bujolnir le charge alors qu'il donne l'alarme, l'écrasant malencontreusement.</t>
  </si>
  <si>
    <t>Nain des montagnes</t>
  </si>
  <si>
    <t>Phandelver</t>
  </si>
  <si>
    <t>Se retournant alors, il se rend compte que le reste de la salle est remplie de kobolds. On nettoie le tout</t>
  </si>
  <si>
    <t xml:space="preserve">Fers rouges : bandits, guilde de mercenaires -&gt; </t>
  </si>
  <si>
    <t>Après une tentative diplomatique de Bjolnir, le combat s'est malheureusement poursuivi et seuls deux kobolds ont pu être épargnés.</t>
  </si>
  <si>
    <t>Demi-Orc</t>
  </si>
  <si>
    <t>Hall de Guilde à Baldur's Gate</t>
  </si>
  <si>
    <t>Plus loin, on rencontre le demi dragon et quelques vils gredins</t>
  </si>
  <si>
    <t>Verger Edermath : vieil elfe + ancien aventurier -&gt; chef des fers rouges est baton de verre, bourg mestre ne sert à rien, repère principal des fers rouges au manoir de Tresendar</t>
  </si>
  <si>
    <t>Ces derniers étaient motivés pour la discussion mais Rezzmir beaucoup moins.</t>
  </si>
  <si>
    <t>Classe</t>
  </si>
  <si>
    <t>Epreuve de force</t>
  </si>
  <si>
    <t>Drek'Thar défie Langdedrosa en duel pour tenter de racheter son honneur bafoué pendant que le reste du groupe s'occupe des 2 Berserkers</t>
  </si>
  <si>
    <t xml:space="preserve">puit du vieux hibou : enquêter morts vivants pris en chasse dans la région, 2 jours de marche, tour de guet avec magie antique </t>
  </si>
  <si>
    <t>Alors que Bjolnir se fait assomer par un Berserker, Drek'thar mu par la colère et l'énergie du désespoir décapite Langdedrosa puis intervient pour tenter d'aider le groupe qui finit par se débarasser des Berserker</t>
  </si>
  <si>
    <t>Guerrier</t>
  </si>
  <si>
    <t>Salle d'entrainement 1 (3 persos : Pakito + ? + ?)</t>
  </si>
  <si>
    <t>Explorer le puits aux vieux hibou + près d'une ancienne tour magique de l'empire néhétril + 2 jours de marches au nord est</t>
  </si>
  <si>
    <t>Après le combat, Drek Tar active le piège du coffre et du gaz s'échappe en même temps que du loot.</t>
  </si>
  <si>
    <t>Sorcier</t>
  </si>
  <si>
    <t>Après quelques instants de dissipation, on se retrouve devant les statues de dragons (Autel des dragons du mal),,,</t>
  </si>
  <si>
    <t>Epreuve de magie</t>
  </si>
  <si>
    <t>Grimoire de Douxsalut : vendu par la banshee (Agathe) à un nécromancien (Tsernoth) en provenance d'Iriaebor</t>
  </si>
  <si>
    <t>Au fond de la grotte, on tombe sur un nouvel enclos où on trouve deux créatures draconiques et un Tentaculeur qui protège des oeufs de dragon noir</t>
  </si>
  <si>
    <t>Chambre</t>
  </si>
  <si>
    <t>Occultiste (Fièlon)</t>
  </si>
  <si>
    <t>On nettoie le tout et on récupère deux ouefs de dragons</t>
  </si>
  <si>
    <t>On rencontre quelques gardes et occultistes sur le retour qu'on nettoie également. Ils ont été envoyé par Frulam Mondath pour voir ce qui se passait,</t>
  </si>
  <si>
    <t>ensorceleur (magie sauvage)</t>
  </si>
  <si>
    <t>Epreuve de l'arène</t>
  </si>
  <si>
    <t>D'autres méchants viennent et on les décape dans les escaliers.</t>
  </si>
  <si>
    <t>Odeur de mort : vient de la tour</t>
  </si>
  <si>
    <t>Via le passage secret, on arrive dans la chambre  de Frulam Mondath.</t>
  </si>
  <si>
    <t>Zone de dressage de dragon</t>
  </si>
  <si>
    <t>Paladin (vengeance)</t>
  </si>
  <si>
    <t>Après une grosse bataille, on massacre le tout malgrè quelques grosses blessures</t>
  </si>
  <si>
    <t>Druidesse badasse</t>
  </si>
  <si>
    <t>Homme robuste avec tatouage noir sur le front (tatouage nécromantique) = kost : homme qui fait des recherches</t>
  </si>
  <si>
    <t>https://www.aidedd.org/regles/equipement/armures/</t>
  </si>
  <si>
    <t>Une map décrit la zone et les villages attaqués sauf Beregost (prochaine cible)et une note indique "Everything must be freighted north to Naerytar. Rezmir allowed us to keep some pearls, a ring, and a handful of small stones.”</t>
  </si>
  <si>
    <t>Thay : pays à l'est où les magiciens se font tatouer = école de magie de nécromancie</t>
  </si>
  <si>
    <t>Paladin (Rédemption)</t>
  </si>
  <si>
    <t>C'est lui qui a mis les zombies, cherche quelque chose et n'est pas loin du but - veut avoir des infos auprès de la banshee pour savoir qui a créé la tour mais ne veut pas la rencontrer</t>
  </si>
  <si>
    <t>Rôdeur</t>
  </si>
  <si>
    <t>Orcs font de la reconnaissance près d'ici : aller au sud, suivre les collines, près d'un rocher escarpé, 10 km du puit du vieux hibou</t>
  </si>
  <si>
    <t>Aventure</t>
  </si>
  <si>
    <t xml:space="preserve">donne un parchemin de ténèbres : le lire et ça lance le sort - sort unique </t>
  </si>
  <si>
    <t>Retour ensuite à Greenest avec les oeufs</t>
  </si>
  <si>
    <t>Tyranny of dragons</t>
  </si>
  <si>
    <t>Leozin est parti faire rapport à Elturel. Le maire ne connait pas la ville de Nayritar</t>
  </si>
  <si>
    <t xml:space="preserve">Grimoire disparu il y a 80 ans, </t>
  </si>
  <si>
    <t>Nous voulons démarrer notre trajet vers Beregost avec des chariots pour transporter les oeufs de dragons.</t>
  </si>
  <si>
    <t>Le chemin étant bloqué en direction de Amn, nous devons remonter vers la foret au nord</t>
  </si>
  <si>
    <t>Nous recevons alors un message de Leosin qui nous demande de nous diriger vers Elturel afin de savoir où se rendait la caravane des ennemis</t>
  </si>
  <si>
    <t xml:space="preserve">fait parti de l'avant garde des forces d'orcs, vient du sud, bande d'éclaireurs en reconnaissance dans la zone </t>
  </si>
  <si>
    <t>En direction d'Elturel, nous tombons sur une araignée démoniaque qui a traitreusement trompé le pauvre Bjolnir</t>
  </si>
  <si>
    <t>Durant la nuit, une bande d'orcs tente de nous attaquer</t>
  </si>
  <si>
    <t>Mine perdu de Phandelver</t>
  </si>
  <si>
    <t xml:space="preserve">Ogre (Gog) + Brugor (chef) + 6 orcs </t>
  </si>
  <si>
    <t>Après avoir capturé deux orcs, une légère altercation se produit entre les membres du groupe pour savoir si il faut atteler les orcs ou juste les garder prisonniers</t>
  </si>
  <si>
    <t>Ellyjobel libère deux chevaux pour atteler les orcs</t>
  </si>
  <si>
    <t>charme personne sur l'orc qu'on envoie taper sur ses copains à l'intérieur de la grotte. Puis on lance une sphère de ténèbres pour créer la confusion et qu'ils se tapent les uns sur les autres. =&gt; 5 orcs morts. Suite du combat à l'extérieur de la grotte (2 orcs et 1 ogre)</t>
  </si>
  <si>
    <t>Nous rencontrons un marchand qui nous revend les chevaux contre les orcs et qui vend quelques potions inutiles</t>
  </si>
  <si>
    <t>Durant le troisième jour de voyage, nous arrivons à un pont qui surplombe un affluent de rivière</t>
  </si>
  <si>
    <t>1250 xp total 312,5</t>
  </si>
  <si>
    <t>Le pont ne semble pas bien solide, nous passons donc un par un en déchargeant les chariots et en minimisant la charge sur chaque personne</t>
  </si>
  <si>
    <t>pour orc et ogre</t>
  </si>
  <si>
    <t>Tyranny of Dragon</t>
  </si>
  <si>
    <t>Tout se passe bien lors de la traversée sauf pour Bjolnir qui passe au travers du pont mais le tout sans dommage majeur</t>
  </si>
  <si>
    <t>750 pc 180 pa 62 pe 30 po 3 fioles de parfum</t>
  </si>
  <si>
    <t>Durant la nuit, le merveilleux se produit, deux magnifiques petits dragonnets noirs sortent de leurs oeufs et choisissent la voie de l'amour en élisant Bjolnir comme leur papa</t>
  </si>
  <si>
    <t>1 paire d'oreilles d'orc et 1 d'ogre</t>
  </si>
  <si>
    <t>Durant la journée, la chasse s'organise pour nourrir les dragonnets et un long périple démarre pour le dressage de ces magnifiques animaux</t>
  </si>
  <si>
    <t>Total restant</t>
  </si>
  <si>
    <t>Nous sommes maintenant au 5ème jour de voyage et nous tombons sur 2 ogres qui veulent nous imposer un péage</t>
  </si>
  <si>
    <t>Toujours même tension à cause des fers rouges dans Phadalin</t>
  </si>
  <si>
    <t>Suite à une intense négociation Bjolnir négocie le passage pour le 10ème du prix initial</t>
  </si>
  <si>
    <t>Durant la nuit, un orbe apparait et illumine le lointain, ce qui indique la proximité d'Elturel qui a deux soleils 'dont un qui repousse les mort-vivants)</t>
  </si>
  <si>
    <t>Maire est plus calme, Sildar est là. Récupération de 100 po pour les orcs + 50 po pour l'ogre et les informations recueillies, Maire écrit au seigneur pour mobiliser une armée</t>
  </si>
  <si>
    <t>Au 7ème jour, nous arrivons finalement à Elturel après avoir croisé un barde qui se fait malheureusement manger par les dragonnets</t>
  </si>
  <si>
    <t>Perso de rechange</t>
  </si>
  <si>
    <t>Bjolnir envoye les dragonnets se faire un nid pendant que la troupe se dirige vers la ville qui est divisée en deux par le Chionthar</t>
  </si>
  <si>
    <t>Sildar veut qu'on localise le château de Cragmaw, les fers rouges partent de là et semblent liés aux Gobelins avec l'araignée noire ?</t>
  </si>
  <si>
    <t>On retrouve Leosin à la taverne des Black Antlers</t>
  </si>
  <si>
    <t>Il tente de convaincre l'Ordre du Gantelet des Paladins de Torm de rejoindre l'armée qui devrait se former pour combattre la caravane du culte maléfique qui se dirige vers Baldur's gate</t>
  </si>
  <si>
    <t>un magicien humain courtaud d'une trentaine d'années avec une barbe noire</t>
  </si>
  <si>
    <t>Nous apprenons alors qu'un tournoi va se tenir pour déterminer le meilleur guerrier de l'ordre du Gantelet</t>
  </si>
  <si>
    <t>change des mineurs : achat de 17 mica pour 5 po</t>
  </si>
  <si>
    <t>Après un peu de shopping, nous nous dirigeons pour nous inscrire aux différentes épreuves du tournoi</t>
  </si>
  <si>
    <t>Drek'Thar et Bjolnir s'incrivent à l'épreuve de force où ils brillent jusqu'à la demi-finale où ils s'affrontent dans un duel fratricide. Préférant l'argent à l'honneur, Drek'Thar se laisse perdre pour récolter l'argent des paris tandis que Bjolnir se hisse en finale et finit par vaincre le chevalier champion du tournoi, Gideon</t>
  </si>
  <si>
    <t>Halia ne sait pas où est le château de Cragmaw : un gobelin travaille avec les fers rouges et il connait l'emplacement du château : 100 po si on la débarrasse des fers rouges (élimination du chef baton de vert)</t>
  </si>
  <si>
    <t>Darrin et Lunaaz s'incrivent au tournoi de précision, Malheureusement Lunaaz est éliminée dès le premier tour tandis que Darrin arrive en 8ème de finale où il échoue.</t>
  </si>
  <si>
    <t>veut récupérer leurs échanges épistolaires</t>
  </si>
  <si>
    <t>Lors du tournoi d'éloquence, Drek'thar et Bjolnir sont éliminés au second tour.</t>
  </si>
  <si>
    <t>Durant le tournoi de sagesse, Ellyjobel est éliminé au second tour tandis que Lunaaz continue jusqu'au quart de finale.</t>
  </si>
  <si>
    <t>Banshee a donné 3 potions de soin</t>
  </si>
  <si>
    <t>Pour l'épreuve de magie, Darrin arrive jusqu'à la finale également après avoir éliminé le champion des 4 années précédentes et il gagne en finale contre une druidesse.</t>
  </si>
  <si>
    <t>Liste des actions</t>
  </si>
  <si>
    <t>Reste maintenant l'épreuve de l'arène où notre fine équipe devra maintenant s'illustrer</t>
  </si>
  <si>
    <t>Edermath était rassuré et nous remercie + il est prêt à nous aider si besoin</t>
  </si>
  <si>
    <t>Après une épreuve magistrale, notre groupe gagne l'épreuve de l'arène. Une grande fête s'ensuit</t>
  </si>
  <si>
    <t>Ferme feuille d'aulne (Alderleaf) : Qelline et Carpe (enfant)</t>
  </si>
  <si>
    <t>Le lendemain, rdv avec Antar : les Gantelet (Signe un gant) et Leosin font partie des Menestrel (Signe : Harpe en argent nichée dans un croissant de lune). Il se sont associés avec un troisième ordre (L'enclave d'émeraude) pour combattre les cultistes. Ils nous demandent d'aller à Baldur pour infiltrer une caravane des cultistes vers Water Deep (trajet 25-30 jours).</t>
  </si>
  <si>
    <t>Drektar rejoint l'ordre des Gantelet, Darin les Menestrel. Ellyjobel et Lunaaz ne rejoignent aucun des deux groupes.</t>
  </si>
  <si>
    <t>femme nous a dit reidoth connait chaque cm² de la région, est allé à arbrefoudre à l'est de neverwinter, 75 km de phandaline, au nord west de cette ville : trésor à récupérer</t>
  </si>
  <si>
    <t>Notre chef drakheide va rejoindre Blojnir pour s'occuper des dragons et le reste du groupe va se rendre en bateau à Baldur's gate.</t>
  </si>
  <si>
    <t>Kriv</t>
  </si>
  <si>
    <t>Arrivé à Baldur, on nous demande de rejoindre Ackyn Sélébon (equipementier) et on se prépare à rejoindre la caravane (11 chariots au début)</t>
  </si>
  <si>
    <t>Tunnel caché dans les sous bois</t>
  </si>
  <si>
    <t>Elijobel rejoint le chariot de fret Enom Tobun (un halfelin conteur d'histoire 1PO/jour pour 10 jours</t>
  </si>
  <si>
    <t>Banque de la Guilde</t>
  </si>
  <si>
    <t>5 batonnets de dynamite pour 25 po</t>
  </si>
  <si>
    <t>Drektar rejoint un chariot humain de Achreny Ulyetin  (1PO/jours + 20 PO)</t>
  </si>
  <si>
    <t>Luth</t>
  </si>
  <si>
    <t>Blojnir, Darin et Lunaaz rejoindront la caravane en tant que sergent de l'escorte (8PO/10 jours)</t>
  </si>
  <si>
    <t>manoir Trésendar : entrée dans la grotte, brise glacée avec odeur, présence magie nécrotique, cadavre à demi rongé au fond de la crevasse</t>
  </si>
  <si>
    <t>Les journées se passent. Les cultistes semblent faire bande à part.</t>
  </si>
  <si>
    <t>Darin tente d'en d'approcher de leurs chariots mais se fait remarquer. Drektar fait ami ami avec des autres gardes,</t>
  </si>
  <si>
    <t>1 gobelin dans petite pièce + 3 goblours</t>
  </si>
  <si>
    <t>Elijobel arrive a savoir qu'il y a bien des biens dans les chariots et que les gredins sont +-XXX. Elle entend qu'ils se méfient de Darin qui rôde un peu trop près des chariots</t>
  </si>
  <si>
    <t>Pendant ce temps, Bjolnir est parti récupérer ses dragonnets avec Adremas.</t>
  </si>
  <si>
    <t>créature bizarre près du pilier dans la grotte qui semble communiquer par télépathie de façon très imprécise</t>
  </si>
  <si>
    <t>Suite à quelques petites aventures, ils récupèrent les dragonnets et font route vers la guilde pour aller mettre à l'abri les dragonnets dans la zone de dressage.</t>
  </si>
  <si>
    <t>nauthic 450 xp /4</t>
  </si>
  <si>
    <t>Au 7ème jour, Bjolnir rejoint la caravane.</t>
  </si>
  <si>
    <t>Drakeide</t>
  </si>
  <si>
    <t>160 pa + 120 po + 5 malachites (15 po chacune) + 2 potions soin + parachemin d'augure + épée longue +1 (lame avec gravure "serre") dans foureau argent</t>
  </si>
  <si>
    <t xml:space="preserve">Elijobel </t>
  </si>
  <si>
    <t>Au jour 14, un chariot est attaqué par des hobgobelins sur la route menant aux Champs des Morts. On le sauve.</t>
  </si>
  <si>
    <t>Demi-elfe</t>
  </si>
  <si>
    <t>Au 19 eme jour, pres de la foret du cri du troll , attaque d'araignées</t>
  </si>
  <si>
    <t>aventurier Aldith trésendar le faucon noir : l'épée lui appartient, de bonne facture</t>
  </si>
  <si>
    <t>Humain Illuskien</t>
  </si>
  <si>
    <t>Après Elijobell agresse un noble qui maltraite les chevaux</t>
  </si>
  <si>
    <t>1000 PO</t>
  </si>
  <si>
    <t>Plus tard, on rencontre un cerf magique/prince elfe qui nous accompagne</t>
  </si>
  <si>
    <t>4 humains avec capes rouges, discussions, jeux de dés</t>
  </si>
  <si>
    <t>Plus tard, un voleur de statuette magique a été démasqué (l'avocat)</t>
  </si>
  <si>
    <t>25ieme jour, des perytons nous attaquent. Des quoi ??? Elyjobil explique que ce sont des créatures ailées qui apparemen ont très faim là.</t>
  </si>
  <si>
    <t>400 xp + 75 pc + 55 pa + 22 pe + 15 po + petits rubis (30 po)</t>
  </si>
  <si>
    <t>21 saphir (6300PO)</t>
  </si>
  <si>
    <t>26 ieme jours; venue d'un mage rouge (Azbara Jos) et une gnome pas sympa (Jamna Gleamsilver)</t>
  </si>
  <si>
    <t>Guerrier (duel)</t>
  </si>
  <si>
    <t>3 gobelours : 600 xp</t>
  </si>
  <si>
    <t>Durant notre arret au gué de la Dague et à l'auberge liée, nous nous faisons attaquer sauvagement par des nobles insolents suite à un léger malentendu avec Drek'thar.</t>
  </si>
  <si>
    <t>Un cultiste est assassiné mais on s'en fout plus ou moins</t>
  </si>
  <si>
    <t>Rodeur (gardien de drake)</t>
  </si>
  <si>
    <t>utilisation de 2 potions de soin : reste 3</t>
  </si>
  <si>
    <t>Nous arrivons au gué fortifié juste avant Waterdeep</t>
  </si>
  <si>
    <t>2 émeraudes troubles (1000PO)</t>
  </si>
  <si>
    <t>Clerc (semi-soin semi-guerrier)</t>
  </si>
  <si>
    <t>Suite à nos services brillants auprès des marchands, nous recevons des lettres de recommandation</t>
  </si>
  <si>
    <t>33 pa + porte cache oeil en cuir noir orné de pierres semi-précieuses (50 po). Il détient aussi une clef de fer (passe partout qui ouvre toutes les portes)</t>
  </si>
  <si>
    <t>Les marchands se dispersent dans le quartier sud et Jamna décide de rester avec nous</t>
  </si>
  <si>
    <t xml:space="preserve">gobelours travaillent au service de l'araignée noire et sont avec les gobelins, Ils ne se cotoient pas avec les fers rouges </t>
  </si>
  <si>
    <t>On voit les chariots se diriger vers le nord de la ville et s'arretent dans le Field Ward entre North Yard et North Gate</t>
  </si>
  <si>
    <t>collier de 21 perles de chryso</t>
  </si>
  <si>
    <t>un humain mage noir est présent</t>
  </si>
  <si>
    <t>Un demi-dragon aurait été aper!u dans le coin, il y a un mois</t>
  </si>
  <si>
    <t>Le Seigneur Pas-de-Braise cherche à reconstruire la route entre Neverwinter et Waterdeep</t>
  </si>
  <si>
    <t>fers rouges patrouillent et auront des infos</t>
  </si>
  <si>
    <t>40 pierres précieuses (5000PO)</t>
  </si>
  <si>
    <t>La compagnie CTG gère le projet et a besoin de sécurité supplémentaire pour le chantier</t>
  </si>
  <si>
    <t>300 xp pour 3 fers rouges</t>
  </si>
  <si>
    <t>Durant la nuit, rien ne bouge</t>
  </si>
  <si>
    <t>On est dans une guilde avec l'autre équipe de jdr on a des points de renommés du coup pas besoin d'établi d'alschimiste</t>
  </si>
  <si>
    <t>10 bare d'or baldur gate</t>
  </si>
  <si>
    <t>Au petit matin, nous allons donc vérifier les entrepots pour voir si la caravane bouge</t>
  </si>
  <si>
    <t>Ardred Briferhew, le commandant de la garde, vient nous débaucher pour servir de gardes sur la route</t>
  </si>
  <si>
    <t>La première renferme 16 pa et 7 po, la seconde 12 pa et 5 po et la troisième 15 pe et deux grenats (10 po pièce).</t>
  </si>
  <si>
    <t>30 peaux castor (2 po pièce)</t>
  </si>
  <si>
    <t>50 xp x3 : mort des squelettes</t>
  </si>
  <si>
    <t>1 chevalière en platine, environ 50po</t>
  </si>
  <si>
    <t>On a la journée pour déambuler du coup, on se fait une journée shopping</t>
  </si>
  <si>
    <t>2 fers rouges : 100 xp chacun</t>
  </si>
  <si>
    <t>Après diverses emplettes, nous passons la soirée à la taverne</t>
  </si>
  <si>
    <t>Au lendemain matin, on rejoint la caravane qui prend le démarrage</t>
  </si>
  <si>
    <t>Au début du 3ème jour, on arrive à l'orée d'un bois où nous nous sommes fait attaquer par de malheureux brigands qui n'avaient cependant aucune chance contre notre équipe</t>
  </si>
  <si>
    <t>herboristerie avec collier d'émeraude + argent (sud est d'arbrefoudre)</t>
  </si>
  <si>
    <t>Au bout de 10 jours de voyage, nous apercevons au loin le marais des morts et nous arrivons au relais Carnath géré par un demi-orc du nom de Bog Luck</t>
  </si>
  <si>
    <t>piège : 100 xp</t>
  </si>
  <si>
    <t>Le demi-orc semble relié au culte des dragons, les cultistes tentent de chercher la bagarre et l'une d'entre elles rencontre l'épée de Drek'thar.</t>
  </si>
  <si>
    <t>12 lances, 6 épées courtes, 4 épées longues, 6 arbalettes légères avec 8 carquois (20 flèches), 12 capes rouges</t>
  </si>
  <si>
    <t>L'ambiance tournant au vinaigre et ses compagnons ne faisant pas grand chose pour calmer le jeu, Bjolnir intervient et par sa présence arrive à obtenir que la bagarre générale se calme avant même de commencer</t>
  </si>
  <si>
    <t xml:space="preserve">arbalete légère pour malar </t>
  </si>
  <si>
    <t>Durant la nuit, quand arrive le point du jour, Bjolnir entend une activité au sous-sol,</t>
  </si>
  <si>
    <t>Enna : 1 lance</t>
  </si>
  <si>
    <t>Il réveille les autres et Ellyjobel se rend compte qu'il s'agit d'hommes-lézards qui s'activent près du sous-sol au niveau du coté du coffre</t>
  </si>
  <si>
    <t xml:space="preserve">journal du nain urmon : la forge des sorts </t>
  </si>
  <si>
    <t>Suite à un assaut sauvage de Jamna, nous menons l'assaut sur les homme-lezards et nous éliminons le groupe</t>
  </si>
  <si>
    <t>Avec 4 prisonniers, nous avons suffisamment de monde à interroger</t>
  </si>
  <si>
    <t xml:space="preserve">Il y a plus de cinq siècles, des clans de nains et de gnomes
conclurent un accord connu sous le nom de Pacte de
Phancreux, grâce auquel ils se partageaient une mine
abondante dans une merveilleuse grotte appelée la Caverne
du Ressac. En plus de ses richesses minérales, la caverne
recelait une grande puissance magique. Des lanceurs de sorts
MJ (GM):humains s'allièrent aux nains et aux gnomes pour canaliser
cette puissance et la lier à une immense forge (appelée la
Forge des Sorts) où fabriquer des objets magiques. A cette
époque prospère, le village humain voisin de Phandaline était
florissant, mais un désastre ne tarda pas à frapper la contrée
sous la forme d'une horde d'ores venus du nord qui balaya tout
MJ (GM):sur son passage.
Une puissante armée d'orcs soutenue par des mercenaires
magiciens maléfiques s'attaqua à la Caverne du Ressac pour
s'emparer de ses richesses et de ses trésors magiques. Les
magiciens humains se battirent aux côtés de leurs alliés nains
et gnomes pour défendre la Forge des Sorts et la bataille
MJ (GM):magique qui s'en suivit détruisit une grande partie de la grotte.
Les effondrements et les secousses sismiques laissèrent peu
de survivants et l'on oublia l'emplacement de la Caverne du
Ressac.
</t>
  </si>
  <si>
    <t>Bog Luck est bien le patron des hommes-lézards, les hommes-lézards livrent les fruits du pillage des cultistes au chateau Naerytar</t>
  </si>
  <si>
    <t>Après une intense négociation, on laisse Bog Luck avec une petite bosse, on prend avec nous les hommes-lézards autres que notre guide Pressegueule</t>
  </si>
  <si>
    <t>Gundred a trouvé l'entrée de la mine et souhaitait l'ouvrir</t>
  </si>
  <si>
    <t>Nous partons par le tunnel de la taverne pour aller dans les marais vers le chateau Naerytar</t>
  </si>
  <si>
    <t>prêtres du dieu Lathandre</t>
  </si>
  <si>
    <t>La traversée du marais est peu évidente comme on peut l'attendre d'une traversée d'un marais tout pourri qui fait rouiller les armures</t>
  </si>
  <si>
    <t>potions : poudre de belladone + mercure + bile de dragon</t>
  </si>
  <si>
    <t>On passe la nuit à un petit relais et les hommes-lézards nous ramènent gentiment de la nourriture</t>
  </si>
  <si>
    <t>Enna : recette de la potion invisibilité + acheter un établi d'alchimie</t>
  </si>
  <si>
    <t>Les hommes-lézards nous racontent qu'ils sont originaires du chateau. Depuis quelques temps, ils ont perdu leurs pouvoirs et se font exterminer par une tribu d'hommes grenouilles (Brutaciens) et les drakeides ne les aident pas</t>
  </si>
  <si>
    <t>chambre : lettre, rien dans le coffre, porte dérobée</t>
  </si>
  <si>
    <t>180poa 130po 2 péridotes qui valent 15po</t>
  </si>
  <si>
    <t>un personnage est venu chercher les derniers fers rouges qui ont fui : le chef a fui (baton de vert)</t>
  </si>
  <si>
    <t>Albrek est un traitre</t>
  </si>
  <si>
    <t>Nous décidons donc d'aider la tribu des hommes-lézards à s'affranchir du joug de leurs différents oppresseurs</t>
  </si>
  <si>
    <t>Change des mineurs : famille de ébeniste présente + Halia</t>
  </si>
  <si>
    <t>Les hommes-lézards vénèrent Voaraghamanthar qui est un dragon noir assez réputé dans les environs</t>
  </si>
  <si>
    <t>Ils ont été recrutés par Rezzmir et leur chaman est mort</t>
  </si>
  <si>
    <t>gain 50 po</t>
  </si>
  <si>
    <t>Pour l'instant, le dragon dort et donc ils pensesnt avoir été abandonnés</t>
  </si>
  <si>
    <t>Halia veut se débarasser du chef en prenant sa place et asseoir son autorité avec les fers rouges</t>
  </si>
  <si>
    <t>En approchant du chateau, on tombe sur une patrouille d'homme-lézards</t>
  </si>
  <si>
    <t>Grâce à notre charisme naturel, nous les convaincquons que nous allons les aider à les délivrer des brutaciens</t>
  </si>
  <si>
    <t>Le village est reconnaissant de notre travail. On montre le mot à Sildar. Il est sous le choc. Il nous demande de le capturer vivant pour qu'il soit jugé + il faut absolument trouver le château de Cragmaw</t>
  </si>
  <si>
    <t>Ils nous amènent donc vers les longues-maisons pour discuter d'un plan</t>
  </si>
  <si>
    <t>2 jours de trajet : 1er jour : combat avec 4 orcs (400 xp gagné)</t>
  </si>
  <si>
    <t>Ils ont un méchant stock d'armes et d'armures dans leur maison après avoir piqué pleins de trucs aux brutaciens</t>
  </si>
  <si>
    <t>Les brutaciens sont environ une cinquantaine dans le campement au nord du chateau et environ 35 dans le chateau. en patrouille, il y aurait entre 30 et 70 brutaciens</t>
  </si>
  <si>
    <t>2ème jour : arrivée de nuit dans ruines d'arbrefoudre, de la végétation partout</t>
  </si>
  <si>
    <t>Farblaix Crache-Mépris est le chef des brutaciens et est un chaman</t>
  </si>
  <si>
    <t>Reidoth : druide (dans la maison) : château de cragmow (château des gobelins)</t>
  </si>
  <si>
    <t>De notre coté, on peut avoir 80 hommes-lézards</t>
  </si>
  <si>
    <t xml:space="preserve">au sud est des ruines, personnes avec des masques et capes noires </t>
  </si>
  <si>
    <t>Le chateau serait dirigé par un elfe, Dralmorrer Grisborgne</t>
  </si>
  <si>
    <t>Les hommes-lézards ont des lézards géants qui pourraient servir à foutre le bronx</t>
  </si>
  <si>
    <t xml:space="preserve">dragon dans la tour principale du village : croc venimeux </t>
  </si>
  <si>
    <t>Suite à une longue discussion, on décide de se cacher dans les caisses de trésor pour s'infiltrer dans le chateau</t>
  </si>
  <si>
    <t>Tresor des brutaciens : bijoux en argent et en électrum, miroirs à main, peignes en coquille, épingles à cheveux et broches avec des pierres semi-précieuses 1376 Po</t>
  </si>
  <si>
    <t>On massacre le chef des Brutaciens puis on arrive à résoudre plus ou moins paisiblement la bataille qui s'ensuit en sauvant quelques brutaciens qui sont fait prisonniers</t>
  </si>
  <si>
    <t>Des cultistes tentent encore de se dresser sur notre chemin mais nous les éliminons en chemin que nous sommes vers le chef elfe</t>
  </si>
  <si>
    <t>zombies rodent + araignées dans le batiment en face de la maison du druide</t>
  </si>
  <si>
    <t>Quand nous arrivons tout en haut, nous tombons sur une pièce piégée et une statue de Tiamat</t>
  </si>
  <si>
    <t>Ne trouvant rien dans les étages supérieurs, nous repartons vers les sous-sols afin de chercher l'elfe</t>
  </si>
  <si>
    <t>herboristerie : à l'est</t>
  </si>
  <si>
    <t>Dans notre recherche de l'elfe, nous tombons sur un cercle de téléportation qui fonctionne avec un mot-clé que nous n'avons malheureusement pas</t>
  </si>
  <si>
    <t>druide veut qu'on chasse le dragon en échange d'infos sur la topographie</t>
  </si>
  <si>
    <t>En fait, il était dans les papiers de la chambre piégée et on peut donc activer le cercle de TP</t>
  </si>
  <si>
    <t>Avant d'aller dans le cercle de TP, on visite une chambre qui est piégée mais qui permet à Darrin d'obtenir deux sorts super puissants</t>
  </si>
  <si>
    <t>Via le portail, on se retrouve dans une zone très froide en face d'un pavillon de chasse</t>
  </si>
  <si>
    <t>Dans le pavillon, nous passons d'abord une rune de glace puis nous affrontons des gargouilles qui n'opposent pas une grande résistance</t>
  </si>
  <si>
    <t>entrée dans le premier bâtiment en face de la maison du druide, attaqués par des araignées.</t>
  </si>
  <si>
    <t>Nous cherchons un autre signe de vie et nous tombons sur la cuisine où 4 membres du culte nous parlent d'un certain Talis</t>
  </si>
  <si>
    <t>LOOT</t>
  </si>
  <si>
    <t>Dans la pièce à l'étage, nous trouvons un supposé chef du culte Talis qui est un ami d'enfance d'Ellyjobel</t>
  </si>
  <si>
    <t>Il rentre dans la salle comme un bourrin et apostrophe Talis, proche de Severin</t>
  </si>
  <si>
    <t>200 xp par araignée</t>
  </si>
  <si>
    <t>Finalement le Talis semble bien disposé à trahir le culte</t>
  </si>
  <si>
    <t>cadavre d'un aventurier elfe : 23 po + 1 potion soin + 35 pa + 1 épée courte + armure de cuir cloutée</t>
  </si>
  <si>
    <t>coffre : mince pendentif en émeraude (200 po) + collier en or</t>
  </si>
  <si>
    <t>Severin the Red, Galvan the Blue, Neronvain the Green, Rezmir the Black, and Varram the White sont les 5 chefs du culte avec Severin qui est le chef principal/ Ce sont les Dragophones (Wyrmspeaker)</t>
  </si>
  <si>
    <t>batisse avec cheval de trait et chope de bière</t>
  </si>
  <si>
    <t>Dralmorrer n'est qu'un sous-fifre et le mage rouge est complice</t>
  </si>
  <si>
    <t>200 xp 4 zombies + 25xp par 8 arbres</t>
  </si>
  <si>
    <t>Le chateau volant qui est leur base d'opérations mobile pour transporter les trésors vers le quartier général se trouve dans le village de Parnast</t>
  </si>
  <si>
    <t>coffre caché 700 PC 160 PA 90 PO</t>
  </si>
  <si>
    <t>Apparemment le culte serait en train de lever une armée dans les montagnes du Couchant au sud</t>
  </si>
  <si>
    <t xml:space="preserve">Araignée géante qui habitait dans des tunnels proches du village, potentiel descendance. </t>
  </si>
  <si>
    <t>Le pavillon de chasse est lié à 4 portails</t>
  </si>
  <si>
    <t>Don du collier d'émeraude au dragon contre son départ vers de "nouvelles richesses"</t>
  </si>
  <si>
    <t>Talis nous donne les autres explications pour attaquer le culte et pour faire des lettres afin de se justifier et obtenir son immunité par rapport aux autorités</t>
  </si>
  <si>
    <t>2000 xp quête du dragon vert</t>
  </si>
  <si>
    <t>Kairon, l'occultiste nous rejoint, tandis que Drek'Thar et Luunaz s'en vont vers d'autres horizons</t>
  </si>
  <si>
    <t xml:space="preserve">Statue de Palien, a vaincu de nombreux monstres et créatures mythiques autour du Bois de Neverwinter. Exaltation lors du prochain combat. </t>
  </si>
  <si>
    <t>Talis nous propose de monter à bord de Cumulus (le chateau volant) à partir de Parnast</t>
  </si>
  <si>
    <t>250 xp 5 zombies dans la caserne</t>
  </si>
  <si>
    <t>Elle nous donne aussi une bannière avec 5 bandes colorées sur une lance et deux mdp, Tiamat notre mère et notre force et le second, Je vous salue Blagothkus</t>
  </si>
  <si>
    <t xml:space="preserve">6 arbres x 25xp = 150 xp </t>
  </si>
  <si>
    <t>TLes deux mdp peuvent être utilisés et dépendent des factions</t>
  </si>
  <si>
    <t>6 personnes x 25 xp = 150 xp</t>
  </si>
  <si>
    <t>Après une nuit de voyage, nous débarquons à Parnast. Petit village classique avec auberge, petit sanctuaire etc,,,</t>
  </si>
  <si>
    <t>coffre avec 3 diamants (100 PO pièces)</t>
  </si>
  <si>
    <t>Seule anomalie, une porte en pierre gigantesque sur les cotés du village</t>
  </si>
  <si>
    <t>Sur le coup d'un des cultitstes il y avait une fiole brisée, contient une potion de vol</t>
  </si>
  <si>
    <t>En marchant vers la taverne, on voit au loin un pont levis qui va vers un chateau</t>
  </si>
  <si>
    <t xml:space="preserve">Le druide revient nous voir, il nous propose des informations. Il sait que la caverne qui donne accés à la mine de Phandelver est la caverne du Ressac. </t>
  </si>
  <si>
    <t>Une enorme chope dorée est suspendue au dessus de la porte</t>
  </si>
  <si>
    <t>Kairon va papoter avec le marchand qui est un "résistant" pendant que les trois autres papotent tranquillement avec l'aubergiste</t>
  </si>
  <si>
    <t>La guilde n'est pas encore installée</t>
  </si>
  <si>
    <t>En sortant de la taverne, on tombe sur le capitaine Othelstan</t>
  </si>
  <si>
    <t>Après un léger apparté tout en finesse, nous rentrons dans le chateau qui est sur le départ</t>
  </si>
  <si>
    <t>Le chateau est constitué de nombreuses parties en glace</t>
  </si>
  <si>
    <t xml:space="preserve">Reste 4 potions de soin </t>
  </si>
  <si>
    <t>Après de nombreuses observations pertinentes et judicieuses, Darrin découvre que le chateau est magique !!!</t>
  </si>
  <si>
    <t>le groupe est allé à neverwinter, a été voir la forge des nains mais trop chers ils se rabattent sur une fouille chez les marchands itinérants mais sans trouver d'objets intéressants</t>
  </si>
  <si>
    <t>En se baladant dans le chateau, on arrive enfin à trouver une bonne vue pour voir le ciel et le paysage au lointain</t>
  </si>
  <si>
    <t>Kairon de son coté, rentre dans une chambre qui ne lui appartient pas et découvre qu'elle est clairement faite pour quelqu'un de plus grand</t>
  </si>
  <si>
    <t xml:space="preserve">Possession du groupe : 3 diamants 100 PO p, 1 collier en or 50 PO, 5 malachites 15 PO pi, une chevaliere en platine 50 PO, 2 grenats 1, PO 2 peridots 15 PO </t>
  </si>
  <si>
    <t>Darrin toujours très inspiré, découvre que ce sont des géants qui ont construit l'ensemble et qui l'occupent probablement encore</t>
  </si>
  <si>
    <t>Bjolnir et Ellyjobel se lancent dans une inspection surprise des kobolds qui montre que l'ordre ne règne pas vraiment</t>
  </si>
  <si>
    <t>on a de la dynamite bb (2batons)</t>
  </si>
  <si>
    <t>Après une nuit dument méritée, on apprend que le chateau peut voler grâce à Blagothkus qui communique avec l'esprit de sa femme décédée qui commande au chateau</t>
  </si>
  <si>
    <t>On rentre directement dans la tour où se trouve le boss</t>
  </si>
  <si>
    <t>Après une discussion, il nous confirme que c'est bien l'esprit de sa femme qui controle le chateau.</t>
  </si>
  <si>
    <t>Il accepte de participer au plan de résurrection de Tiamat afin de pouvoir la vaincre et redonner sa grandeur au peuple des géants des nuages</t>
  </si>
  <si>
    <t>En sortant de la tour, nous allons vers la "salle des machines" mais la porte de 6m de haut est fermée à clé et nous hésitons devant un tel obstacle</t>
  </si>
  <si>
    <t>Dans un coin perdu du chateau volant, nous tombons sur Malar le voleur semi-elfe qui se joint à notre joyeuse compagnie</t>
  </si>
  <si>
    <t>Après des négociations fructueuses avec un groupe d'ogre qui défoncent la porte pour nous, nous rentrons dans la "salle des machines"</t>
  </si>
  <si>
    <t>Au sommet de l'escalier, nous trouvons une chambre avec douze runes qui apparaissent et qui scintillent</t>
  </si>
  <si>
    <t>Po à la vente</t>
  </si>
  <si>
    <t>Dans les runes, il y a l'ame de la femme du géant des nuages, Eskarotha</t>
  </si>
  <si>
    <t>Les runes sont naines et donc Bjolnir sait les lire sans soucis</t>
  </si>
  <si>
    <t xml:space="preserve">lors de notre voyage pour le château de cragmaw nous rentcontrâmes une tête enfoncée dans le sol, suite à la suspicion de la compagnie enna envoya son familier inspecter la tête étrrange quand tout à coup, une gigantesque araignée dégomma ce dernier puis, s'enfonça dans le sol avec un ricanement glaçant </t>
  </si>
  <si>
    <t>Parmi la douzaine de runes, certaines ont tendance à changer</t>
  </si>
  <si>
    <t>Une rune "Alarme", "All clear", "Ancrage","Relacher","Dérive","Foyer",Points cardinaux,"Monter","Descendre","Rotation +", "Rotation -","Voiler","Dévoiler","Orage" (crée des éclairs qui ciblent les gens),"Calme"</t>
  </si>
  <si>
    <t>Arrivés au château de cragmow nous visitâmes une pièce étant un ancien garde-manger dépéris, une odeur fétide s'en dégage, dans le fond de la pièce se trouvait un rideau épais et à l'est une porte épaisse en bois menant à un couloir. Le groupe entra puis en entendant une conversation à propos d'un paiement non reçu car l'araignée noir refusera de payer d'après une voix douce que malar pouvait entendre à travers la porte. L'autre voix n''était pas satisfaite et exigeait le paiement. Le groupe décida d'attaquer mais Darvin crie pour lancer son sort ce qui ruine tout effet de surprise</t>
  </si>
  <si>
    <t>Après une discussion fructueuse en nain avec Eskarotha, elle avance quelques runes pour nous aider</t>
  </si>
  <si>
    <t>Combat GOBLE OURS + HOBGOBLIN + DOPPLER = 1300 /4 = 325 par personne</t>
  </si>
  <si>
    <t>On décide ensuite d'aller revoir Blagothkus pour lui dire d'aller parler à sa femme pour qu'elle le convaincque d'abandonner son projet de ressusciter Tiamat</t>
  </si>
  <si>
    <t>On a libéré un nain qui était capturé par le gobelours : il est en mauvais état et inconscient. On lui met des chaussettes sous le nez. Il se réveille. Sildar à Phandalin qu'on a sauvé dans une caverne nous a dit que gundren a été enlevé</t>
  </si>
  <si>
    <t>Blagothkus prend relativement bien la nouvelle de se faire engueuler par sa femme et part discuter avec elle</t>
  </si>
  <si>
    <t xml:space="preserve">On parle à Gundren. Il s'enferme à clef pour se reposer. Le mot de passe à donner pour qu'il nous ouvre est "Le Clandestin". On le soigne. On lui laisse une ration d'eau et de nourriture. </t>
  </si>
  <si>
    <t>Elle porte clairement la culotte et il se prend une bonne gueulante</t>
  </si>
  <si>
    <t>Résultat, il est prêt à massacrer du cultiste et garder le dragon comme Pet avec nous</t>
  </si>
  <si>
    <t xml:space="preserve">Rideau au sud, Malar est invisible pour 1h. Il rentre dans une pièce avec des lits qui servaient aux hobgobelins. </t>
  </si>
  <si>
    <t>Une décision plus ou moins collective est prise d'aller massacrer les cultistes</t>
  </si>
  <si>
    <t>Pour sauver au moins une partie de la population, Bjolnir convainc les Kobolds de ne pas prendre part au combat sans savoir que Blagot compte les utiliser comme nourriture pour le dragon</t>
  </si>
  <si>
    <t xml:space="preserve">Il y a un Grick (créature vermiforme s'approche de ses proies pour les dévorer). Présent dans la pièce de gauche </t>
  </si>
  <si>
    <t>Nous explorons le bas du chateau pour savoir ce qu'il y a. Nous trouvons deux mages rouges dont une de nos anciennes connaissances (Azbara)</t>
  </si>
  <si>
    <t>4 hobgoblins + 2 loups : 500 xp (à rajouter)</t>
  </si>
  <si>
    <t>Après un combat relativement épique et plus ou moisn violent, nous avons tué un mage rouge et une gargouille et un autre mage rouge est désormais notre prisonnier qui finira dans le frigo</t>
  </si>
  <si>
    <t>En continuant notre inspection, nous trouvons une pièce avec deux gardiens drake et Rezmir</t>
  </si>
  <si>
    <t xml:space="preserve">Gundren nous offre 25 PO pour l'aide. Il nous donne les plans de la caverne et son emplacement.  </t>
  </si>
  <si>
    <t>Durant notre trajet vers Waterdee</t>
  </si>
  <si>
    <t>Il veut savoir si ses frères sont en vie. Il est prêt à nous offrir 10% sur les richesses de la mine quand il l'aura remise en service si on retrouve ses frères (il pense qu'ils sont morts)</t>
  </si>
  <si>
    <t>Ensuite deux boules de feu et un Shatter sont délicatement balancés dans la pièce, ce qui tue le garde et le tapis qui était en fait une créature vivante</t>
  </si>
  <si>
    <t>Rezmir apprécie assez peu la situation et nous balance de l'acide dessus mais entre nos divers assauts, il tombe évanoui et nous pouvons tranquillement le ligoter</t>
  </si>
  <si>
    <t>Achat de 2 potions de soin pour 50 PO</t>
  </si>
  <si>
    <t>400 po, un collier en argent 200po, 6pierre coutant 300po, 10 perles en vracs 1500po, petite bourse 50pp 600pa 145po, masque de Rezmir 1510 po récompense quête principale de léozine (?)</t>
  </si>
  <si>
    <t>En interrogeant le mage rouge, on apprend qu'ils souhaitent essayer de controler les dragons et de renverser le chef actuel des mages rouges Szasstam (une méchante liche)</t>
  </si>
  <si>
    <t>1 journée de marche et on arrive à la mine. On entend le fracas des vagues au loin sur la roche alors que nous sommes très loin des océans : source d'eau bouillonnante au coeur de la caverne</t>
  </si>
  <si>
    <t>Dans la secte des mages rouges, il y a diverses factions et certains sont contre le projet. Le mage rouge qu'on interroge était en communication avec Severin le Rouge et était assez investi dans le projet</t>
  </si>
  <si>
    <t>Ils ont un livre de la mort (Derrière la Porte de Fer) qui décrit comment sacrifier des centaines d'ame à la fois et ramener Tiamat des 9 enfers</t>
  </si>
  <si>
    <t>nous marchons dans le tunnel creusé par les frères nains. On voit une grande caverne avec des stalagmites, Il y a le cadavre d'un mineur nain mort depuis une semaine. Il y a aussi des ressources</t>
  </si>
  <si>
    <t>Rezmir ne donne aucune info et se suicide tandis que le mage rouge se repend sincèrement</t>
  </si>
  <si>
    <t>Il a un pendentif, armoirie de la famille Cherche pierre -&gt; 2 frères : Tharden ou Nezznar, Trace nette de lame qui l'a transpercé (quelqu'un d'expérimenté)</t>
  </si>
  <si>
    <t>On part faire coucou au dragon et sur le chemin, dans les parois gelées, on voit divers objets ou autres nourritures diverses pour le dragon</t>
  </si>
  <si>
    <t xml:space="preserve">au nord est il y a une secton de la grotte effondrée, corde accrochée à la stalagmite voisine : un tunnel taillé dans la roche part au nord ouest et à l'est </t>
  </si>
  <si>
    <t>Quand on arrive dans le centre de la caverne, on voit un tas d'or monstrueux et dessus le dragon, Glazael, qui a l'air repu avec de la fourrure de kobolds qui traine un peu partout</t>
  </si>
  <si>
    <t>Les "hommes" de Blagot maitrisent et capturent le dragon</t>
  </si>
  <si>
    <t>On utilise la corde et on prend le tunnel à l'est. Le chemin est poli. C'est une salle habitée avec des décorations. 20 squelettes sont sur le sol de la caverne : nains, gobelins, orcs. Il y a des torches mais elles ne sont pas allumées</t>
  </si>
  <si>
    <t>Bjolnir essaye de convaincre Blagot qui veut capturer d'autres dragons et n'adhère pas à mon magnifique raisonnement sur les associations win-win qui pourraient résulter d'une bonne collaboration</t>
  </si>
  <si>
    <t>Stryge 250 xp</t>
  </si>
  <si>
    <t>Les membres du groupe tentent d'obtenir divers trophées ou autres objets excepté Bjolnir qui tente de les empêcher de prendre le trésor et de toucher le dragon</t>
  </si>
  <si>
    <t>250 XP total pour les stirges</t>
  </si>
  <si>
    <t>Blagot propose de nous déposer près de Loudwater et on tente de négocier pour être déposés plus près de Waterdeep</t>
  </si>
  <si>
    <t>On arrive donc finalement près de Secomber, après quelques jours on arrivera à Waterdeep</t>
  </si>
  <si>
    <t>=&gt; Passage sur Rise of Tiamat</t>
  </si>
  <si>
    <t>Entrée de la mine éboulée, Salle de gauche : rien ne bouge, grotte avec décombres, os de squelettes, lieu de bataille. Salle de droite : pièce de travail, meubles et rangements -&gt; parchemins nains qui s'éfritent, bureau de la douane, coffre fort en fer</t>
  </si>
  <si>
    <t>Coffre fort : serrure corriace à crocheter échec du crochetage</t>
  </si>
  <si>
    <t xml:space="preserve">Pièce de gauche : squelettes -&gt; 9 morts vivants : 450 xp. salle des gardes, </t>
  </si>
  <si>
    <t>salle des gardes, globablement vide et pleine de cadavre</t>
  </si>
  <si>
    <t>Pièce à droite, pleine de champignons</t>
  </si>
  <si>
    <t xml:space="preserve">pièce aui nord de celle des champi comporte trace de bataille entre mages et orcs, aura magique autour de la caverne sentie uniquement par les personnages sensibles aux arcanes. </t>
  </si>
  <si>
    <t>pièce à droite, coffre en fer : présence maléfique de mort vivant en colère : c'est un ancien magicien, il veut reprendre le contrôle de la mine, il est sournois</t>
  </si>
  <si>
    <t>il nous laisse une partie du trésor si on se débarasse de ce qui est au nord, créature créée par les magiciens, invoquée par erreur, c'est un spectateur (renvoie tous les soirs)</t>
  </si>
  <si>
    <t>mort du spectateur : 175 xp / pers</t>
  </si>
  <si>
    <t>cuirasse renforcée avec un dragon doré sur établi = contre dragon + mrogenstern, masse d'arme porte lumière puissante contre les morts vivants</t>
  </si>
  <si>
    <t xml:space="preserve">forge des sorts grâce au braséro qui permettait de forger des objets </t>
  </si>
  <si>
    <t>Enna : lance +1 pour 3h, armure + 1 pour 11h, Kairon armure +1 12h</t>
  </si>
  <si>
    <t>1 100 pièce cuivre, 160 pa, 50 pe, 3 diamants (100 po unité), flûte en bois avec fiigranes en platine, carte au trésor</t>
  </si>
  <si>
    <t xml:space="preserve">carte au trésor </t>
  </si>
  <si>
    <t>repos long, voix rocailleuses s'approchent : gobelins 75xp</t>
  </si>
  <si>
    <t>bruit du ressac, on entend les vagues, bras d'une autre mine bcp + vaste</t>
  </si>
  <si>
    <t>ancien canal abandonné, roue à aube</t>
  </si>
  <si>
    <t>crâne feu, familier des magiciens, sert à se battre contre les envahisseurs, mort vivant, foudroie ses adversaires par ses yeux assez résistant et dangereux, peut se régénérer si pas détruit complètement avec de l'eau bénite</t>
  </si>
  <si>
    <t>lit de la rivière, 2 gobelours en face de la faille 400xp</t>
  </si>
  <si>
    <t>arrivée d'un mage noir + 4 gobelours : 1500 xp</t>
  </si>
  <si>
    <t xml:space="preserve">gantelets d'un nain : pris par Kairon </t>
  </si>
  <si>
    <t>temple nain : mage noir + 3 gobelours : 450 + 400 + 600 xp</t>
  </si>
  <si>
    <t>mage : clé en forme enclume + baton de l'araignée</t>
  </si>
  <si>
    <t>nain en piteux état mais vivant : veut retourner à Phandalin voir Gundren + 800 xp + 10% des revenus de la mine</t>
  </si>
  <si>
    <t>Durant notre trajet vers Waterdeep, nous nous rendons compte que le culte est de plus en plus actif et que ses actions se répandent de plus en plus</t>
  </si>
  <si>
    <t>Des cultistes tentent malheureusement de nous barrer le chemin mais leur destin s'avère aussi funeste que celui de leurs collègues.</t>
  </si>
  <si>
    <t>Ils travaillent pour Galvan le Bleu et ces boulets ne savet pas où leurs pillages doivent aller</t>
  </si>
  <si>
    <t>En arrivant à Waterdeep, on tombe sur un corbeau, qui est en fait un messager de Leosin qui nous file un portail de TP pour rejoindre Leosin</t>
  </si>
  <si>
    <t>Un des seigneurs masqués, Artagas Ulbrinter, a été assassiné par les cultistes et donc ça part en couille</t>
  </si>
  <si>
    <t>Boule</t>
  </si>
  <si>
    <t>Remi Haventree, la femme de Artagas, est en train de tenter de motiver les seigneurs de Waterdeep pour s'attaquer au culte</t>
  </si>
  <si>
    <t>Bill</t>
  </si>
  <si>
    <t>Nous sommes invités à la cérémonie qui aura lieu dans deux jours pour la réunion du conseil des Seigneurs de Waterdeep</t>
  </si>
  <si>
    <t>Tournoi Inscriptions</t>
  </si>
  <si>
    <t>Durant l'attente de la cérémonie, nous avons assisté à un phénomène paranormal comme une pression qui affecte tout le monde avec un sentiment de nervosité généralisé et des animaux qui ont foutu le camp</t>
  </si>
  <si>
    <t>cout  1 po par epreuve</t>
  </si>
  <si>
    <t>Au Conseil, on peut voir que les différentes factions sont présentes, Ménestrels, Gantelets enflammés, Zhentarim, Enclave d'Emeraude et l'alliance des Seigneurs.</t>
  </si>
  <si>
    <t>A l'entrée du Conseil, Leosin nous laisse entrer sans pouvoir nous accompagner</t>
  </si>
  <si>
    <t>recompense</t>
  </si>
  <si>
    <t>Nous apprenons que c'est le son du Draakhorn que nous avons entendu et que ce son va attirer les dragons via Dala Silmerhelve (Une noble de Waterdeep).</t>
  </si>
  <si>
    <t>Comme dans tous les conseils, ça se chamaille vainement alors qu'on apporte des réponses super claires et qui'on aide tout le monde</t>
  </si>
  <si>
    <t>Ca se finit sur un accord général pour donner les clés de la ville au Clain d'Estaing et à nous nommer Héros en chef</t>
  </si>
  <si>
    <t>Arene</t>
  </si>
  <si>
    <t>Bonus de réput auprès des Menestrels et de l'Orée d'Emeraude suite à nos discours enflammés</t>
  </si>
  <si>
    <t>5 PO</t>
  </si>
  <si>
    <t>quart</t>
  </si>
  <si>
    <t>C'est Varam le Blanc, le Dragophone de l'Hiver et du Froid, qui a assassiné Arthagast donc Remi veut lui faire la peau</t>
  </si>
  <si>
    <t>force</t>
  </si>
  <si>
    <t>C'est un Zentharim qui a chopé le masque de Varam, d'où le fait qu'ils sont au courant</t>
  </si>
  <si>
    <t>2 PO</t>
  </si>
  <si>
    <t>demi</t>
  </si>
  <si>
    <t>Varam recherche son masque qui serait dans le site d'un ancien bassin de divination, la tombe de Diderius</t>
  </si>
  <si>
    <t>Varam serait actuellement proche d'une comptoir Boareskyr, près des Collines du Serpent</t>
  </si>
  <si>
    <t>Varam est un nain donc on peut potentiellement le reconvertir en appellant à sa loyauté de nain</t>
  </si>
  <si>
    <t>precision</t>
  </si>
  <si>
    <t>Sur place, à Boareskyr, il y a des paladins d'Elturgard qui gèrent l'ordre et le gérant du comptoir s'appelle Bolo</t>
  </si>
  <si>
    <t>Sur place, on trouve des statures de Bhaal et de Cyric</t>
  </si>
  <si>
    <t>finale</t>
  </si>
  <si>
    <t>Au comptoir, on nous raconte que la tombe de Diderius est un endroit mythologique et que dans les environs, on risque de tomber sur des Yuan-Ti</t>
  </si>
  <si>
    <t>eloquence</t>
  </si>
  <si>
    <t>Le Diderius serait soi-disant un magicien d'une ancienne civilisation qui aurait été capable de voir l'avenir dans l'eau</t>
  </si>
  <si>
    <t>3 PO</t>
  </si>
  <si>
    <t>gagnant</t>
  </si>
  <si>
    <t>En nous baladant dans les marais vers les Collines du Serpent, on tombe sur un sanctuaire de Netheril, une ancienne divinité</t>
  </si>
  <si>
    <t xml:space="preserve">Sagesse </t>
  </si>
  <si>
    <t>Pas grand chose de spécial dans ce sanctuaire</t>
  </si>
  <si>
    <t>Magie</t>
  </si>
  <si>
    <t>En continuant à se balader dans la montagne, on trouve une crypte que nous décidons d'aller joyeusement explorer</t>
  </si>
  <si>
    <t>1 PO</t>
  </si>
  <si>
    <t>pari ouvert 1/4</t>
  </si>
  <si>
    <t>14 PO</t>
  </si>
  <si>
    <t>Un feu de camp se dresse à proximité près duquel se trouve 3 sacs de couchage ainsi qu'un endroit où la terre a été retournée comme une tombe et des traces au sol montrent que quelque "chose" a été trainé</t>
  </si>
  <si>
    <t>Des trolls se trouvent dans le puit mais Kairon a réussi à communiquer avec eux pour qu'ils nous laissent tranquilles</t>
  </si>
  <si>
    <t>Les statues sont des statues d'hommes qui portent des tuniques antiques type toge. Chacun a une main levée tel un avertissement</t>
  </si>
  <si>
    <t>Sur la porte de la "crypte" des scènes ont été gravées, ces scènes décrivent des scènes de mondes imaginaires</t>
  </si>
  <si>
    <t>Les statues s'adressent à nous en disant que l'une d'entre elle représente Diderius</t>
  </si>
  <si>
    <t>Après un dialogue où Kairon fait le lèche-bottes pour tenter de gratter des infos qu'il n'obtient pas, nous rentrons dans la première salle qui est complètement vide</t>
  </si>
  <si>
    <t>Une pensée arrive dans nos esprits à tous pour nous dire que nous ne sommes pas sensés connaitre certains secrets et que nous devons détourner le regard des ténèbres qui les contiennent</t>
  </si>
  <si>
    <t>Nous passons donc la salle en nous couvrant le visage pour éviter de regarder les statues et tout se passe bien</t>
  </si>
  <si>
    <t>Nous arrivons alors dans une salle contenant une porte au nord, une double porte à l'est et un passage vers le sud. Sur le sol, il y a une mosaïque d'un chevalier combattant une chimère</t>
  </si>
  <si>
    <t>El R ayant foncé comme un bourrin vers la porte Nord, la mosaïque s'est animée et la chimère nous a attaqué.</t>
  </si>
  <si>
    <t>Après un combat pénible, nous avons fini par la vaincre</t>
  </si>
  <si>
    <t>Porte gauche : Un puit se trouve dans la pièce avec un seau. Plus loin se trouve un fossé avec les trolls dedans</t>
  </si>
  <si>
    <t>En inspectant le tunnel qui se trouve à droite, on envoye prudemment un spectre de Kairon qui active le piège qui se trouve au milieu</t>
  </si>
  <si>
    <t>Ce piège reconstitue la mosaïque sous forme de boule qui va s'éclater au bas du couloir dans la pièce en contrebas</t>
  </si>
  <si>
    <t>Dans cette pièce en contrebas, on peut voir un trou dans lequel Ellyjobel pourrait passer. De nombreuses tapisseries ornent la pièce et une odeur d'encens se fait sentir partout</t>
  </si>
  <si>
    <t>Les tapisseries nous rappellent les statues de l'entrée</t>
  </si>
  <si>
    <t>"L'humilité proféré à la manière de Mystril protégera ceux qui ouvrent la voie pour chercher la connaissance"</t>
  </si>
  <si>
    <t>En suivant l'indication donnée, on passe les deux portes du bas pour arriver dans une sorte de bilbilothèque avec un spectre de femme qui se situe au milieu de la pièce</t>
  </si>
  <si>
    <t>C'est le spectre d'une femme nommée Ilda qui est l'élève de Diderius</t>
  </si>
  <si>
    <t>Elle souhaite nous aider à éliminer les pillards qui sont dans le tombeau, elle nous parle de yuan-ti mais pas de Varam</t>
  </si>
  <si>
    <t>Darin souhaite explorer la salle du trone et observer le golem qui l'habite</t>
  </si>
  <si>
    <t>Dans le couloir descendant, il y a un passage secret qui mène directement vers le bassin de divination</t>
  </si>
  <si>
    <t>Dans la salle du trone, après que nous ayons donné un tribut. Le golem s'arrête et Darin l'analyse. Il s'agit d'un goelm d'argile recouvert de l'illusion d'un homme très grand et qui utilise le sort Bouche Magique pour parler.</t>
  </si>
  <si>
    <t>On se dirige vers le couloir descendant et nous trouvons rapidement le bouton caché</t>
  </si>
  <si>
    <t>Ce bouton nous ouvre un ascenseur qui nous fait descendre pour aller vers une pièce secrète qui contient 4 spectres</t>
  </si>
  <si>
    <t>En tentant de casser la porte, je déloge une brique qui révèle des runes. Darin et Kairon détruisent les runes ce qui bannit les fantomes</t>
  </si>
  <si>
    <t>Pendant que Bjolnir continue à détruire la porte, les autres bouquinent tranquillement dans la pièce désormais vidée de ses occupants</t>
  </si>
  <si>
    <t>Kairon, Darin et Ellyjobel prennent un peu tout ce qui traine dans la pièce, qui en a pour une valeur de 750 PO.</t>
  </si>
  <si>
    <t>On compte ramener le livre écrit par Diderisu à Ilda</t>
  </si>
  <si>
    <t>En passant par la porte défoncée, on descend un escalier puis on tombe sur un groupe de diables barbus</t>
  </si>
  <si>
    <t>Ils disent devoir s'occuper des fantomes mais quand Bjolnir leur dit que les fantomes sont partis, ils nous attaquent comme des brutes</t>
  </si>
  <si>
    <t>Mais tels de vaillants aventuriers, nous les éliminons promptement</t>
  </si>
  <si>
    <t>Nous continuons le couloir pour arriver dans une salle avec un grand bassin ainsi qu'un corps de cultiste et de nombreuses flèches ornées du symbole d'un cobra dressé</t>
  </si>
  <si>
    <t>Le cultiste est apparemment décédé d'un coup de dague dent-de-dragon, poignardé de face par une personne qu'il semblait connaitre</t>
  </si>
  <si>
    <t>Le bassin est vide et ne contient plus de sang ni d'eau. Kairon se coupe pour faire couler du sang dans le bassin, sang qui s'évapore en arrivant au centre</t>
  </si>
  <si>
    <t>Le bassin est magique et nous offre la compréhension du monde (au moins pour un certain temps)</t>
  </si>
  <si>
    <t>Via la porte de droite, nous trouvons un grand sarcophage avec de nombreux bas-reliefs d'anciens dieux</t>
  </si>
  <si>
    <t>Le tombeau est clairement celui de Diderius</t>
  </si>
  <si>
    <t>Le golem nous dit "Les Yuan-Ti ont amenés le dénomé Varaam dans leur repaire" et il va nous ouvrir une porte magique pour y arriver</t>
  </si>
  <si>
    <t>En s'ouvrant la porte cachée derrière le tombeau nous montre un groupe de Yuan-Ti qui semble fort surpris</t>
  </si>
  <si>
    <t>Grâce à la persuasion de Bjolnir et aux effets pyrotechniques de Kairon, nous arrivons à convaincre les Yuan-ti de laisser tomber les armes</t>
  </si>
  <si>
    <t>Nous obtenons diverses infos comme quoi leur maison ainsi que leur nursery se trouve plus loin avec un temple</t>
  </si>
  <si>
    <t>En continuant plus loin, nous tombons sur un pont recouvert de mousse très glissante</t>
  </si>
  <si>
    <t>En tentant d'enlever la mousse, Ellyjobel aperçoit des hommes-lezards qui sortent de l'autre coté et qui s'avancent vers nous d'un air menaçant</t>
  </si>
  <si>
    <t>Toute tentative de négociation ayant échoué, le combat s'engage</t>
  </si>
  <si>
    <t>Après quelques péripéties, le combat se termine sur une victoire éclatante de notre groupe</t>
  </si>
  <si>
    <t>En prenant une intersection, nous nous rendons compte que le plafond et les murs bougent étrangement</t>
  </si>
  <si>
    <t>A la première intersection, nous tombons sur la nursery des Yuan-Ti et nous faisons doucement demi-tour</t>
  </si>
  <si>
    <t>Malheureusement, le Yuan-Ti géant nous poursuit ainsi que les autres créatures et nous sommes, une nouvelle fois, forcés d'engager le combat</t>
  </si>
  <si>
    <t>Et nous le vainquons !</t>
  </si>
  <si>
    <t>En avançant encore vers le bas, on rencontre encore des lezard et on les terrasse? Kairon a trouvé le local à poubelle puis le local avec une plaque de pression.</t>
  </si>
  <si>
    <t>C'etait un piege que l'on a brillament evité. On a aussi vu une prison vide de sacrifice. Dans l'autre p!ece en bas des escaliers, pleins de serpents et deux armures ave des yeux rubis (des armures animées)</t>
  </si>
  <si>
    <t>On quitte cette pièce maléfique.</t>
  </si>
  <si>
    <t>On retourne questionner les lezard et nous indique que une pretresse serpent et le nain se trouve dans la pièce suivante.</t>
  </si>
  <si>
    <t>La pretresse veut negocier de l'argent pour toutes les victimes qu'on a fait.</t>
  </si>
  <si>
    <t>Mais l'un d'entre nous dit qu'on a tout exterminé tout le monde et c'était cool.</t>
  </si>
  <si>
    <t>Elle tue le nain varaam et attaque. Kairon fait un mur des ténèbres et Darin envoie de sboulles de feu. La pretresse disparait.</t>
  </si>
  <si>
    <t>A l'une des statues de la pièce, il y a un passage dans lequel on trouve un trésor.</t>
  </si>
  <si>
    <t>La pretresse s'est transformée en serpent et a fuit dans la forêt</t>
  </si>
  <si>
    <t>On n'a pas de trace du masque alors on retourne voir le spectre qui est contente de retrouver le livre de diderius. Elle s'apprete a se dissiper dans la paix et nous montre le masque blanc via le puit de la dissipation.</t>
  </si>
  <si>
    <t>On a une image d'un type qui porte un masque et qui incante une incantation maléfique. Ce bonhomme est Severin le mechant. Mais on ne sait pas ou il est.</t>
  </si>
  <si>
    <t>A défaut du masque, nous avons la tête de Varam. Severin a récupéré le masque</t>
  </si>
  <si>
    <t>Après notre grand succès, nous retournons sur Waterdeep.</t>
  </si>
  <si>
    <t>Nous présentons nos haut-fait au conseil</t>
  </si>
  <si>
    <t>Dame Remalia, elle, est reconnaissante tandis que d'autres conseillers sont plus réfractaires, sans doute une bonne âme égarée.</t>
  </si>
  <si>
    <t>De la zone de Luskan, une cité fort au Nord, nous avons perçu un son similaire au Draakhorn.</t>
  </si>
  <si>
    <t>Un rapport de Maccath l'Ecarlate à la Host Tower nous est parvenu, il y a quelques mois alors que personne ne l'avait vu depuis 3 ans. Des chasseurs de glace en route vers un immense iceberg ont disparu en compagnie de Maccath et toutes les tentatives de les repérer même magiques ont échouées.</t>
  </si>
  <si>
    <t>Plusieurs unités de Ménestrels et autres ont disparu pour tenter de la retrouver</t>
  </si>
  <si>
    <t>Elle faisait partie de la fraternité de l'Arcane qui est basée à Luskan.</t>
  </si>
  <si>
    <t>Nous fairons le trajet sur le bateau Frostskimmr commandé par le capitaine Lerustah Half-Face car son visage est constellé d'engelures.</t>
  </si>
  <si>
    <t>Maccath est obsédée par la magie draconique</t>
  </si>
  <si>
    <t>Elle a été jusqu'à l'ile de Oyaviggaton pour chercher et tenter d'utiliser de la magie draconique</t>
  </si>
  <si>
    <t>Après quelques tergiversations, nous prenons le drakkar et Vamos pour les iles nordiques</t>
  </si>
  <si>
    <t>Durant notre voyage, nous avons la chance de découvrir que Darin et Bjolnir sont sujets au mal de mer</t>
  </si>
  <si>
    <t>Mob</t>
  </si>
  <si>
    <t>Lerustah nous raconte des histoires par rapport au froid et aux autres créatures du froid qui l'ont déjà attaquées</t>
  </si>
  <si>
    <t>Dans les bourrasques de vent, nous pouvons apercevoir deux pieuvres géantes qui attaquent le bateau lorsque nous arrivons dans les eaux gelées du grand nord</t>
  </si>
  <si>
    <t>quantité</t>
  </si>
  <si>
    <t>Malgré une tentative vaillante des pieuvres, Kairon et Darrin font tellement de pyrotechnie que nous récupérons du calmar grillé et qu'une pieuvre fuit carrément</t>
  </si>
  <si>
    <t>Après une journée supplémentaire de navigation, nous arrivons à l'ile d'Oyaviggaton suite à un voyage, somme toute, très tranquille</t>
  </si>
  <si>
    <t>XP/Mob</t>
  </si>
  <si>
    <t>Lerustah nous laisse une semaine au village pour donner des nouvelles ou prévenir de notre potentiel échec</t>
  </si>
  <si>
    <t>Total</t>
  </si>
  <si>
    <t>Les chasseurs de glace locaux ont une langue, une culture et une religion bien à eux</t>
  </si>
  <si>
    <t>Total/5</t>
  </si>
  <si>
    <t>Nous sommes quasiment dans un cimetière d'os de baleine</t>
  </si>
  <si>
    <t>Points de guilde</t>
  </si>
  <si>
    <t>Le truc, c'est que tous ces os ont une marque de morsure d'un gros gros prédateur</t>
  </si>
  <si>
    <t>Un membre de l'équipage nous accompagne en tant que traducteur</t>
  </si>
  <si>
    <t>Kobold</t>
  </si>
  <si>
    <t>Un mur de glace contenant une dizaine de cadavres se trouve près du village, nous investigons donc sur ce sujet</t>
  </si>
  <si>
    <t>le camp des labres (vous n'avez qu'à googler ce que veut dire labre)</t>
  </si>
  <si>
    <t>Des vieux du village viennent pour "dialoguer"</t>
  </si>
  <si>
    <t>Nous faisons signe de paix et tout se passe bien pour discuter</t>
  </si>
  <si>
    <t>le camp d'Ycrush</t>
  </si>
  <si>
    <t>Kairon a l'idée débile d'enlever sa capuche ce qui effraye tout le village</t>
  </si>
  <si>
    <t>le camp des cèpes</t>
  </si>
  <si>
    <t>Ellyjobel tente de faire "joujou" avec les enfants mais les adultes ramènenent rapidement les enfants sous les tentes</t>
  </si>
  <si>
    <t>Le camp bodge</t>
  </si>
  <si>
    <t>Leur religion est plutot un culte des ancetres et des animaux divins</t>
  </si>
  <si>
    <t>Un duel pour l'honneur est lancé entre Bjolnir et Coeur-d-orc. Ce duel est malheureusement perdu par Bjolnir mais une entente cordiale et fraternelle se fait entre les deux combattants</t>
  </si>
  <si>
    <t>Le Club Dorloté</t>
  </si>
  <si>
    <t>Entretemps, Kairon en douteux personnage inspecte les tentes du village sous invisibilité</t>
  </si>
  <si>
    <t>N'ayant pas trouvé grand chose, nous nous retrouvons sous une grande tente et la shaman nous nourrit d'un sympathique poisson local cru</t>
  </si>
  <si>
    <t>L'Agence tous nique</t>
  </si>
  <si>
    <t>Kairon prétend avoir été piégé par un LEGO magique après avoir suivi un gars du village qui aurait "disparu"</t>
  </si>
  <si>
    <t xml:space="preserve">La guilde des trois éternels </t>
  </si>
  <si>
    <t>La nuit se passe tranquillement malgré des envies de pisser dans le froid qui auraient pu mal tourner</t>
  </si>
  <si>
    <t>Au petit matin, le chef du village nous met gentimment à la porte du village</t>
  </si>
  <si>
    <t>Le clan d'Estaim</t>
  </si>
  <si>
    <t>En retournant au bateau, nous étudions le village et l'iceberg de loin</t>
  </si>
  <si>
    <t>Le camp à gnôle</t>
  </si>
  <si>
    <t>On se rend alors compte que l'iceberg semble artificiel et qu'on pourrait donc probablement explorer l'intérieur via le sommet ou des cavités sous-marines</t>
  </si>
  <si>
    <t>Sauvetages</t>
  </si>
  <si>
    <t>Nous combinons un sort d'invisibilité de Kairon et un sort de discrétion d'Ellyjobel pour retourner explorer le village</t>
  </si>
  <si>
    <t xml:space="preserve">50 points de guilde </t>
  </si>
  <si>
    <t xml:space="preserve">Les fiers de haches ou la compagnie du chien rugissant </t>
  </si>
  <si>
    <t>Via la tente principale, nous trouvons un tunnel qui descend dans l'iceberg</t>
  </si>
  <si>
    <t>L'intérieur est littéralement taillé dans la glace donc nous passons en mode trappeur et nous mettons des crampons pour ne pas tomber</t>
  </si>
  <si>
    <t>Je parie que ça vient de Valnyris ça</t>
  </si>
  <si>
    <t>On se balade et on croise de très très nombrux kobolds</t>
  </si>
  <si>
    <t>meme pas</t>
  </si>
  <si>
    <t>Durant nos explorations, nous arrivons dans une salle où un navire tron au milieu ainsi que de très nombreuses créatures qui semblent assez puissantes</t>
  </si>
  <si>
    <t>D'après les suppositions de Kairon, le bateau est monté étrangement et donc on pourrait supposer que ce soit des gens ou des kobolds qui ont monté le bateau</t>
  </si>
  <si>
    <t>Du coup, qui a ton niveau d'humour dans le groupe ?</t>
  </si>
  <si>
    <t>Moulin &amp; Temple</t>
  </si>
  <si>
    <t>En se baladant, on tombe sur des trolls de glace que nous éliminons promptement</t>
  </si>
  <si>
    <t>100 pts</t>
  </si>
  <si>
    <t>beaucoup trop de monde</t>
  </si>
  <si>
    <t>Un court repos nous est quand meme nécessaire après cette rencontre que nous passons cachés dans un recoin</t>
  </si>
  <si>
    <t>Acolyte</t>
  </si>
  <si>
    <t>c'est Warlock ^^</t>
  </si>
  <si>
    <t>En continuant le tour du noyau central, on tombe sur une salle au nord dont les murs sont faits, couverts de cadavres de 10 géants de givre ou de glace qui semblent avoir des lacérations géantes</t>
  </si>
  <si>
    <t>Des kobolds sont en train de nettoyer les cadavres. Ils obéissent aux ordres du dragon de glace Arauthator</t>
  </si>
  <si>
    <t>L'Union des sacrés</t>
  </si>
  <si>
    <t>Des chefs, crapauds des glace, menés par Marfulbe transmettent les ordres aux kobolds</t>
  </si>
  <si>
    <t>Bjolnir tente de convaincre les kobolds de se rebeller contre le dragon</t>
  </si>
  <si>
    <t>Feydakin</t>
  </si>
  <si>
    <t>Finalement, c'est El Rojo qui convainct les kobolds de se joidnre à nous</t>
  </si>
  <si>
    <t>Nous partons à la recherche de Marfulbe pour tenter de convaincre les crapauds des glace de se joindre à nous contre Arauthator</t>
  </si>
  <si>
    <t>Sauvetage dans le camp</t>
  </si>
  <si>
    <t>Sardaukar</t>
  </si>
  <si>
    <t>Visiblement Marfulb est un manager de génie mais serait près à se joindre à nous contre le dragon</t>
  </si>
  <si>
    <t>Malgré son manque de capacités combatives, il pourra surement nous aider</t>
  </si>
  <si>
    <t>Enfants de la lame</t>
  </si>
  <si>
    <t>Il nous indique que Maccath est prisonnière volontaire</t>
  </si>
  <si>
    <t>Bourboulgour</t>
  </si>
  <si>
    <t>On part donc la chercher</t>
  </si>
  <si>
    <t>Maccath veut bien nous aider contre le dragon mais en échange de tout ce que Aurathator a piqué à la confrérie écarlate</t>
  </si>
  <si>
    <t>Bjolnir soigne Mend'Neth, le villageois, de ses joindre à nous et de mobiliser le village pour amener une armée entière contre le dragon</t>
  </si>
  <si>
    <t>quete personnelle Ellyjobell</t>
  </si>
  <si>
    <t>Bjolnir avec Mend'Neth et Marfulbe, sort pour retourner au village et convaincre tous les villageois de se joindre à eux</t>
  </si>
  <si>
    <t>Ce plan fonctionne splendidement et les aventuriers se retrouvent maintenant à la tête d'une grande armée multiculturelle parfaitement dans l'air du temps</t>
  </si>
  <si>
    <t>Après avoir annihilé le dragon blanc maitre des lieux grâce à notre armée, reste à gérer nos troupes</t>
  </si>
  <si>
    <t>Les Kobolds veulent bien repartir gentiment en échange d'un bateau</t>
  </si>
  <si>
    <t>Maccath souhaite repartir avec les connaissances tandis que Marfulb veut tout garder</t>
  </si>
  <si>
    <t>On convainc Marfulb de rejoindre la guilde de Maccath comme ça tout se retrouve au même endroit à Waterdeep et tout le monde est content</t>
  </si>
  <si>
    <t>Le voyage de retour vers Waterdeep se déroule sans soucis</t>
  </si>
  <si>
    <t>Kobold Ailé</t>
  </si>
  <si>
    <t>A notre retour triomphant, une nouvelle session du Conclave se met en place</t>
  </si>
  <si>
    <t>Remalia comme à son habitude est présente ainsi que Lady Laeral Silverhand, de l'alliance des seigneurs, Ontharr Frume, de l'Ordre du Gantelet, Delaan Winterhound, de l'Enclave d'Emeraude, Sir Isteval, de Daggerford et Taern Hornblade, de Silvermoon</t>
  </si>
  <si>
    <t>Dagult Neverember de l'Ordre des Seigneurs à perdu son titre de chef de Waterdeep car Lady Laerel est meilleure politicienne que lui et lui a foutu sa race</t>
  </si>
  <si>
    <t>prise du chateau</t>
  </si>
  <si>
    <t>Lady Laerel est une des 7 soeurs quasi immortelles, filles de Mystra</t>
  </si>
  <si>
    <t>Elia (Otaaryliakkarnos) a également rejoint le conseil en tant que représentante des dragons métalliques</t>
  </si>
  <si>
    <t>PNJ Sauvé</t>
  </si>
  <si>
    <t>Elle est présente car les dragons métalliques sont préoccupés par la situation et sont en train de rassembler leur propre conseil</t>
  </si>
  <si>
    <t>Elle nous donne une invitation au conseil des dragons métalliques</t>
  </si>
  <si>
    <t>Connerad Brawnanvil est un ambassadeur du nord au sein de l'Alliance des Seigneurs</t>
  </si>
  <si>
    <t>Taern nous reproche de ne pas donner assez d'informations, on propose donc de lancer un sort pour parler avec les morts sur la tête de Varam en même temps que la zone soit sous Zone de vérité</t>
  </si>
  <si>
    <t>Nous réfléchissons donc aux 5 questions à poser</t>
  </si>
  <si>
    <t>En parallèle, nous faisons notre rapport et Maccath confirme que la Confrérie Ecarlate va rejoindre l'alliance</t>
  </si>
  <si>
    <t>Le Conseil va envoyer des troupes pour récupérer le cadavre du dragon afin de prendre ce qu'ils peuvent dessus</t>
  </si>
  <si>
    <t>Delaan Winterhound de l’Enclave d’Émeraude nous explique que de nombreuses attaques de dragon ont eu lieu dans la foret brumeuse</t>
  </si>
  <si>
    <t>Soucis politiques avec le roi de la Foret Brumeuse car les attaques ont stoppé récemment et le roi Melandrach ne veut donc plus entendre parler d'enquetes</t>
  </si>
  <si>
    <t>On part à dos d'Elia pour rejoindre le conseil des dragons</t>
  </si>
  <si>
    <t>Capture du dragon</t>
  </si>
  <si>
    <t>Durant le vol, on voit que c'est le boxon dans les environs</t>
  </si>
  <si>
    <t>Nous arrivons dans la salle du Conseil et des dragons assez anciens tronent dans la salle sous forme humaine</t>
  </si>
  <si>
    <t>Les représentants du Conseil des dragons sont Protanther, Dragon d'Or Mâle - Ileuthra, Dragon de Laiton Mâle - Otaaryliakkarnos, Dragon Argenté Femelle - Nymmurh, Dragon de Bronze Mâle - Tazmikella, Dragon de Cuivre Femelle</t>
  </si>
  <si>
    <t>Protanther est le chef du Conseil et était le Roi de la Justice</t>
  </si>
  <si>
    <t>La puissance de Tiamat dépend fortement des masques qui sont des catalyseurs</t>
  </si>
  <si>
    <t>Une condition des dragons pour s'allier aux humains serait qu'ils récupèrent les masques pour les détruire</t>
  </si>
  <si>
    <t>fin de quete</t>
  </si>
  <si>
    <t>Une autre condition serait que le seigneur Connerad Brawnanvil transmette les excuses au nom de tous les nains pour les massacres de dragons et rende le corps de la nièce d'Ota qui est dans la salle du conseil de Connerad</t>
  </si>
  <si>
    <t>Acolytes</t>
  </si>
  <si>
    <t>Et Melandrach doit aussi présenter les excuses et s'incliner face aux dragons pour le Dracorage</t>
  </si>
  <si>
    <t>En échange pour accomplir cela, ils veulent bien nous donner quelques objets</t>
  </si>
  <si>
    <t>Alagardas nous demande son aide en foret brumeuse. C'est le fils de Melandrach. il nous dit d'aller voir Galin le gardien du village</t>
  </si>
  <si>
    <t>On s'arrete pour camper à la mode Bohème  et non bohème (-&gt;tente, tour de guet et palissade)</t>
  </si>
  <si>
    <t>On se fait attaquer par des cultistes et un petit jeune dragonneau bleu...enfin on les attaque avant qu'ils nous attaquent</t>
  </si>
  <si>
    <t>On fait pleuvoir de la foudre, des boules de feu, des explosifs, on meurt presque tous sauf Elijobel et on gagne au final parcequ'on est quand même les plus forts</t>
  </si>
  <si>
    <t xml:space="preserve">ON approche de la foret tenebreuse. Le paysage est assez terne à l'approche d'Altorn (village sur deux niveaux avec pleins d'arbres qu'on adore). Y'a aussi un temple. </t>
  </si>
  <si>
    <t>Session 1</t>
  </si>
  <si>
    <t>On trouve Galin le gardien du village. Le village a été attaqué par un dragon vert. La femme de Galin et pleins de villageois sont morts. Ils n'ont même pas pris de trésor. Il y a surement des traces aux allentours.</t>
  </si>
  <si>
    <t>Tout pleins de village ont été détruit mais pas les villes principales. Le rois a détaché des troupes pour protéger un peu les choses</t>
  </si>
  <si>
    <t>Le pretre du vilage est mort dans l'attaque aussi</t>
  </si>
  <si>
    <t>Elijobel parle au corbeau de galin qui dit qu'un dragon vert a rencontré Galin.-&gt; est ce qu'il est de conivence avec les cultistes</t>
  </si>
  <si>
    <t>Kairon sachant cela questionne Galin à ce sujet</t>
  </si>
  <si>
    <t>Kairon finit par "torturer" Galin qui finit par avouer qu'il a donné l'emplacement des autres villages en échange de la survie du village</t>
  </si>
  <si>
    <t>po</t>
  </si>
  <si>
    <t>Drake</t>
  </si>
  <si>
    <t>Il avoue que le dragon n'est pas seul, un bonhomme avec un masque était avec lui, il devait venir des marais...vers le sud est</t>
  </si>
  <si>
    <t xml:space="preserve">Le Prince est averti, le village est alors au courant de 'linfamie de Galin. </t>
  </si>
  <si>
    <t>On progresse dans la forêt qui nous semble bien mal en point</t>
  </si>
  <si>
    <t>Au bout d'un certain temps, on entend des cris d'appel à l'aide d'une vieille femme, Bjolnir fonce directement vers la source du cri</t>
  </si>
  <si>
    <t>pe</t>
  </si>
  <si>
    <t>Bjolnir aperçoit qu'un arbre lui est tombé dessus et il fonce directement pour soulever l'arbre, ce qui se fait sans soucis</t>
  </si>
  <si>
    <t>Kobolds</t>
  </si>
  <si>
    <t>En récompense de cette épreuve, elle nous donne des amulettes pour nous protéger du dragon en nous rendant invisible par rapport aux animaux serviteurs du dragon</t>
  </si>
  <si>
    <t>pa</t>
  </si>
  <si>
    <t>Après avoir marché de nombreuses heures, nous montons le camp</t>
  </si>
  <si>
    <t>La nuit se passe sans soucis excepté l'anxiété qui augmente</t>
  </si>
  <si>
    <t>Gardes</t>
  </si>
  <si>
    <t>A force d'avancer, on se rend compte que la forêt semble "rétrécir" et une odeur de putréfaction se fait ressentir</t>
  </si>
  <si>
    <t>pc</t>
  </si>
  <si>
    <t>Des toiles d'araignées sont de plus en plus présentes ainsi que l'humidité qui augmente ce qui obstrue notre perception</t>
  </si>
  <si>
    <t>Un débat sur l'âme des animaux se finit assez rapidement par un point de vue implacable d'Ellyjobel et de Bjolnir</t>
  </si>
  <si>
    <t>Certains fils spécifiques sont placés pour être comme un signal d'alarme vers le centre de la toile</t>
  </si>
  <si>
    <t>Cultistes</t>
  </si>
  <si>
    <t>Suite à quelques péripéties acrobatiques, nous continuons à avancer dans ce méandre de toiles pour arriver à proximité d'une cascade qui aboutit dans un bassin aux profondeurs impénétrables</t>
  </si>
  <si>
    <t>Derrière cette cascade, nous apercevons un temple qui semble avoir été corrompu par une brume verte maléfique</t>
  </si>
  <si>
    <t>Les amulettes que la druide nous a offertes réagissent et s'activent</t>
  </si>
  <si>
    <t>Nous pouvons aperceoir en contrebas, dans l'entrée du temple, ce qui ressemble à des sentinelles dont un noble elfe</t>
  </si>
  <si>
    <t>Hordes de rats</t>
  </si>
  <si>
    <t>Malar s'élance et massacre toute une partie des sentinelles avant même qu'ils ne puissent lever le petit doigt, il prend une personne en otage et l'interroge</t>
  </si>
  <si>
    <t>Neronvein est le Wyrmspeaker</t>
  </si>
  <si>
    <t>Total/4</t>
  </si>
  <si>
    <t>La personne capturée est botaniste et ne pourra donc nous aider au combat mais une fois que nous aurons débarrassé la foret du fléau qui l'empoisonne, il pourra être utile pour soigner la forêt</t>
  </si>
  <si>
    <t>Villageois et pretre sauvés</t>
  </si>
  <si>
    <t>Il nous apprend qu'il y a de nombreux cultistes, des géants et d'autres elfes prisonniers</t>
  </si>
  <si>
    <t>Embuscade déjouée</t>
  </si>
  <si>
    <t>Nous le laissons partir et nous avançons dans le temple en direction de là où les elfes ont été fait prisonniers</t>
  </si>
  <si>
    <t xml:space="preserve">En avançant, nous voyons le lac dans lequel une masse sombre semble s'échapper et je peux constater que la statue de ma déesse est présente au centre </t>
  </si>
  <si>
    <t>Malar a senti la présence de 3 géants au sud-ouest</t>
  </si>
  <si>
    <t>Darin et Bjolnir avancent vers la statue d'Eldath</t>
  </si>
  <si>
    <t>Bjolnir commence à nettoyer la statue et sent la bénédiction d'Eldath descendre sur lui</t>
  </si>
  <si>
    <t>Darin également en contact avec Eldath communie avec elle et apprend que la statue a servi à sceller quelque chose qui vient d'un autre plan</t>
  </si>
  <si>
    <t>3 Ettins sont en train de se battre entre eux pour des conneries et nous comptons tenter de les distraire pour passer en douce</t>
  </si>
  <si>
    <t>Darrin lance une illusion et nous pouvons passer tranquillement</t>
  </si>
  <si>
    <t>En avançant, nous voyons que la porte est ouverte et que les elfes sont derrière</t>
  </si>
  <si>
    <t>Nous arrivons dans la chambre des elfes et poussés par un discours héroïque de Bjolnir, ils acceptent au moins de s'enfuir et de surveiller la sortie</t>
  </si>
  <si>
    <t>Nous repartons vers le nord-est en esquivant les ettins à nouveau.</t>
  </si>
  <si>
    <t>Deux salles pleines de cultistes dont la moitié dort sont là haut et nous réfléchissons à la manière d'abordeer la situation</t>
  </si>
  <si>
    <t>Nous nous rendons invisibles/nous métamorphosons, malheureusement Bjolnir fait cogner son marteau contre un des lits, générant un bruit non négligeable</t>
  </si>
  <si>
    <t>Suite à cela, Kairon lance une illusion mineure pour imiter un bruit de vaisselle qui tombe et Ellyjobel, sous forme de souris, passe comme si c'était lui qui avait fait le bruit</t>
  </si>
  <si>
    <t>En suivant le couloir, nous allons vers le nord et nous arrivons à la salle contenant le matériel</t>
  </si>
  <si>
    <t>Suite à une discussion longuette, la partie plus furtive du groupe prend le matos et se tp dans la salle des elfes</t>
  </si>
  <si>
    <t>Les elfes peuvent donc s'enfuir excepté le mage et le chevalier qui nous accompagnent</t>
  </si>
  <si>
    <t>Ils tentent de passer dans le groupe de cultistes et foirent royalement leur passage ce qui va malheureusement finir comme d'habitude en baston générale</t>
  </si>
  <si>
    <t>Suite à un massacre, nous n'arrivons à avoir que 2 otages</t>
  </si>
  <si>
    <t>Faire fuir le dragon</t>
  </si>
  <si>
    <t>Gobelin</t>
  </si>
  <si>
    <t>L'épée de la cheffe contient visiblement des ames (c'est une épée longue magique)</t>
  </si>
  <si>
    <t>On apprend que Neronvein est un ancien prince elfique. Ils accumulent des esclaves juste par sadisme. Ils souhaitent flinguer les terres elfiques puis partir.</t>
  </si>
  <si>
    <t>Duel honorable</t>
  </si>
  <si>
    <t>Le masque de Neronvein n'ets plus présent dans le coin.</t>
  </si>
  <si>
    <t>Ces derniers temps, Neronvein a changé et semble s'être détourné de Tiamat</t>
  </si>
  <si>
    <t>Nous sommes mandatés depuis le chateau de Camelote, Emily Johns a été assassiné (c'est une gamine)</t>
  </si>
  <si>
    <t>25 ans employée au burd mards</t>
  </si>
  <si>
    <t xml:space="preserve">On se connait </t>
  </si>
  <si>
    <t>Il nous indique qu'il y a un passage secret depuis la chambre de Neronvein pour arriver à la tanière du dragon</t>
  </si>
  <si>
    <t>on est trop pote (1000 chevaliers, on se connait tous)</t>
  </si>
  <si>
    <t>Neronvein méprise son père qui est le roi des elfes</t>
  </si>
  <si>
    <t>Je démonte Rosa façon meuble ikea Arsljokul</t>
  </si>
  <si>
    <t>Les deux otages restent dans la salle sous la surveillance des elfes</t>
  </si>
  <si>
    <t>Employé au BirdMart, jeune femme sans famille</t>
  </si>
  <si>
    <t>Chef Barns chef de la milice du contruc</t>
  </si>
  <si>
    <t>En prenant le couloir vers le sud après la salle des cultistes, on tombe sur ce qui est probablement la chambre de Neronvein</t>
  </si>
  <si>
    <t>13ième etage n°133</t>
  </si>
  <si>
    <t>APPt 133, lieu du meurtre, trouvé par le voisin d'en face</t>
  </si>
  <si>
    <t>vicitme avait un masque blanc</t>
  </si>
  <si>
    <t>Ellyjobel trouve un journal</t>
  </si>
  <si>
    <t>Le voisin Alex Kamp est serveur dans un club Black Jack, gras</t>
  </si>
  <si>
    <t>Une fois dans l'appartement, dans le salon, jeune femme nu, bras levé, 9 profondes lacérations sur le ventre</t>
  </si>
  <si>
    <t>Le masque était présent au puit du dragon et a été envoyé à Severin</t>
  </si>
  <si>
    <t>Sauvetage Sildar</t>
  </si>
  <si>
    <t>coup de couteau et crochet avec 9 crochet  et fils</t>
  </si>
  <si>
    <t>tout a été vissé avec une grande précision, chirurgicale.</t>
  </si>
  <si>
    <t xml:space="preserve">25 points de guilde </t>
  </si>
  <si>
    <t>s'est vidé de son sang, coup fatal à la gorge</t>
  </si>
  <si>
    <t>Selon lui, il y a de plus grandes puissances que Tiamat "derrière la porte"</t>
  </si>
  <si>
    <t>Ambiance mystique avec les lumieres</t>
  </si>
  <si>
    <t>Le coffre était piégé mais El Rojo a géré mais bon après il pique le pognon qui était dedans et laisse Darin fouiller pour les trucs magiques</t>
  </si>
  <si>
    <t>On trouve de la Penumbra drogue halucinogène</t>
  </si>
  <si>
    <t xml:space="preserve">Globalement, l'apparatement d'Emily était pas bien famé, </t>
  </si>
  <si>
    <t>Vétéran</t>
  </si>
  <si>
    <t>le patron du club  havy hosseman</t>
  </si>
  <si>
    <t>Sur une pierre d'obsidienne, des caractères infernaux sont gravés et il s'agit d'une pierre de communication</t>
  </si>
  <si>
    <t>gang violent en provenance des sous sols que le patron veut qu'on vire</t>
  </si>
  <si>
    <t>Sur l'amulette, il reconnait les symboles du clan de Khyber (ancien clan druidique)</t>
  </si>
  <si>
    <t>Fort de notre expérience, nous avons avec succès et sans bavure progresser dans les sous sols</t>
  </si>
  <si>
    <t>En passant via le passage secret, on arrive dans une salle où il y a un petit autel dédié à la déesse elfe des outcast Fenmarel Mestarine</t>
  </si>
  <si>
    <t>Nous déplorons la perte de quelques civils, mais des consommateurs de marie jeanne sont-ils vraiment des citoyens ? Le débat fait rage</t>
  </si>
  <si>
    <t>Fuite</t>
  </si>
  <si>
    <t>smarty le blond sous sol n°4</t>
  </si>
  <si>
    <t>En arrivant dans la salle suivante, on voit Neronvein qui semble seul dans cette grande pièce. Au fond, on aperçoit le tas de trésor.</t>
  </si>
  <si>
    <t>Gobelours</t>
  </si>
  <si>
    <t>Neronvein nous accueille comme un connard et le dragon apparait au fond de la pièce</t>
  </si>
  <si>
    <t>S'ensuit un combat monstrueux contre le dragon, Neronvein et pleins de petits mobs.</t>
  </si>
  <si>
    <t>Durant le combat Neronvein succombe à un sort du dragon</t>
  </si>
  <si>
    <t>Leosin sauvé</t>
  </si>
  <si>
    <t>A la fin du combat, le dragon tente de s'enfuir et Darin s'acharne dessus, ce qui fait tomber le dragon qui décède en faisant s'effondrer la caverne</t>
  </si>
  <si>
    <t>Avec la caverne qui s'effondre, l'arbre qui revit nous protège durant l'effondrement de la caverne</t>
  </si>
  <si>
    <t>Après avoir indécemment looté la caverne, nous récupérons l'épée de Neronvein qui semble magiquement liée au pouvoir du dragon</t>
  </si>
  <si>
    <t>Prisonniers sauvés</t>
  </si>
  <si>
    <t>Nous passons par le village elfe pour rassurer le village et les rassurer sur la mort du dragon</t>
  </si>
  <si>
    <t>Nous repartons finalement en direction de Waterdeep pour aller voir le roi Melandrac et obtenir ses excuses face aux dragons</t>
  </si>
  <si>
    <t>SPA</t>
  </si>
  <si>
    <t>A Waterdeep, nous apprenons que Talis s'est rendu et est prisonnière en attente de jugement</t>
  </si>
  <si>
    <t>Nous allons voir Melandrac qui nous remercie de notre action et du fait que les forces qu'il mobilise pourront être utilisées pour d'autres fronts</t>
  </si>
  <si>
    <t>On négocie le fait qu'il s'incline devant les dragons et il accepte de échange de voir le roi des nains s'incliner également</t>
  </si>
  <si>
    <t>Il prend en charge l'épée de Neronvein.</t>
  </si>
  <si>
    <t>explo de la grotte</t>
  </si>
  <si>
    <t>Session du 12-Jun-2025</t>
  </si>
  <si>
    <t>Leosin vient nous chercher pour un session du Conseil qui requiert notre présence</t>
  </si>
  <si>
    <t>Le Conseil a reçu un message de Thay (la nation desmages rouges) qui souhaite négocier avec eux.</t>
  </si>
  <si>
    <t>Une faction des mages rouges mené par Rath Modar a rejoint les forces draconiques.</t>
  </si>
  <si>
    <t>Stirge</t>
  </si>
  <si>
    <t>sauvetager famille ebeniste</t>
  </si>
  <si>
    <t>Nyh Ilmichh est une représentante de la méchante liche qui dirige Thay</t>
  </si>
  <si>
    <t>Elle propose une audience qui aurait lieu sur le plateau de Thay</t>
  </si>
  <si>
    <t>Le Conseil nous demande de les représenter ou au moins de les escorter au plateau</t>
  </si>
  <si>
    <t>C'est Lady Silverhand qui nous demande de faire cela mais on est pas très très chaud</t>
  </si>
  <si>
    <t>Le mage Islabus Gloomward d'athkatla qui est le maitre de Darrin est devenu un Mage Rouge</t>
  </si>
  <si>
    <t>Il nous explique que la liche Zasstam (le chef des Mages Rouges) flippe à propos de Tiamat et ce qu'il y a derrière</t>
  </si>
  <si>
    <t>Kobold ailé</t>
  </si>
  <si>
    <t>Langdrdrosa</t>
  </si>
  <si>
    <t>Berserker</t>
  </si>
  <si>
    <t>Pièges</t>
  </si>
  <si>
    <t>Roper</t>
  </si>
  <si>
    <t>Guard Drake</t>
  </si>
  <si>
    <t>Agatha</t>
  </si>
  <si>
    <t>Dragonclaw</t>
  </si>
  <si>
    <t>Orc et Ogre</t>
  </si>
  <si>
    <t>Frulam Mondath</t>
  </si>
  <si>
    <t>Nécromancien</t>
  </si>
  <si>
    <t>Nothic</t>
  </si>
  <si>
    <t>Orcs</t>
  </si>
  <si>
    <t>Menestrel sauvé</t>
  </si>
  <si>
    <t>Hobgob</t>
  </si>
  <si>
    <t>Chef hobgob</t>
  </si>
  <si>
    <t>bandits fer rouge</t>
  </si>
  <si>
    <t>Marchand sauvé</t>
  </si>
  <si>
    <t>gobelours</t>
  </si>
  <si>
    <t>Araignées géantes</t>
  </si>
  <si>
    <t>souris derrière un tonneau</t>
  </si>
  <si>
    <t>Ettercap</t>
  </si>
  <si>
    <t>Armure de cuir cloutée x2, 2x bouclier, 2x potions de soins</t>
  </si>
  <si>
    <t>Event mob</t>
  </si>
  <si>
    <t>fer rouge</t>
  </si>
  <si>
    <t>Event tribunal</t>
  </si>
  <si>
    <t>squelette</t>
  </si>
  <si>
    <t>Event cerf millénaire</t>
  </si>
  <si>
    <t>Event vol de statuette</t>
  </si>
  <si>
    <t>Ruffian fer rouge</t>
  </si>
  <si>
    <t>Chariot renversé</t>
  </si>
  <si>
    <t>délivrer les prisonniers</t>
  </si>
  <si>
    <t>Perython</t>
  </si>
  <si>
    <t>piège passé avec succès</t>
  </si>
  <si>
    <t>Event Perython</t>
  </si>
  <si>
    <t>Libération de l'auberge</t>
  </si>
  <si>
    <t>session 6 Juin</t>
  </si>
  <si>
    <t>Bandits</t>
  </si>
  <si>
    <t>Vente matos</t>
  </si>
  <si>
    <t>Homme-lezards</t>
  </si>
  <si>
    <t>Sort Familier ENNA   https://www.gmbinder.com/share/-LSGd7ACEznArBZIcdgC</t>
  </si>
  <si>
    <t>Sables mouvant et Yuan-Ti évités</t>
  </si>
  <si>
    <t>araignées</t>
  </si>
  <si>
    <t>Armure cotte de maille +1</t>
  </si>
  <si>
    <t>Chaman Chef des Brutaciens</t>
  </si>
  <si>
    <t>zombies cendrés</t>
  </si>
  <si>
    <t xml:space="preserve"> Bouclier +1</t>
  </si>
  <si>
    <t>arbre buisson</t>
  </si>
  <si>
    <t>x2 Armure cloutée +1</t>
  </si>
  <si>
    <t>Dragonwing</t>
  </si>
  <si>
    <t>chasser le dragon</t>
  </si>
  <si>
    <t xml:space="preserve">Taverne confortable </t>
  </si>
  <si>
    <t>Mille-pattes</t>
  </si>
  <si>
    <t>Lvl Up</t>
  </si>
  <si>
    <t>Gargouilles</t>
  </si>
  <si>
    <t>mercenaires cultistes</t>
  </si>
  <si>
    <t>goblours + loup + hobgoelins + doppleganger</t>
  </si>
  <si>
    <t>hobgobelins + loups</t>
  </si>
  <si>
    <t>stirges</t>
  </si>
  <si>
    <t>squelettes</t>
  </si>
  <si>
    <t>Spectateur</t>
  </si>
  <si>
    <t>gobelins</t>
  </si>
  <si>
    <t>doppleganger</t>
  </si>
  <si>
    <t>Neznar</t>
  </si>
  <si>
    <t>araignées géantes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</si>
</sst>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
    <numFmt numFmtId="166" formatCode="d/m"/>
  </numFmts>
  <fonts count="10">
    <font>
      <sz val="10.0"/>
      <color rgb="FF000000"/>
      <name val="Arial"/>
      <scheme val="minor"/>
    </font>
    <font>
      <color theme="1"/>
      <name val="Arial"/>
      <scheme val="minor"/>
    </font>
    <font>
      <color rgb="FF000000"/>
      <name val="Roboto"/>
    </font>
    <font>
      <u/>
      <color rgb="FF0000FF"/>
    </font>
    <font>
      <b/>
      <color theme="1"/>
      <name val="Arial"/>
      <scheme val="minor"/>
    </font>
    <font>
      <b/>
      <u/>
      <color theme="1"/>
      <name val="Arial"/>
      <scheme val="minor"/>
    </font>
    <font>
      <u/>
      <color rgb="FF0000FF"/>
    </font>
    <font>
      <sz val="11.0"/>
      <color rgb="FF000000"/>
      <name val="Arial"/>
    </font>
    <font>
      <color rgb="FF000000"/>
      <name val="Arial"/>
    </font>
    <font>
      <b/>
      <sz val="16.0"/>
      <color theme="1"/>
      <name val="Arial"/>
      <scheme val="minor"/>
    </font>
  </fonts>
  <fills count="11">
    <fill>
      <patternFill patternType="none"/>
    </fill>
    <fill>
      <patternFill patternType="lightGray"/>
    </fill>
    <fill>
      <patternFill patternType="solid">
        <fgColor rgb="FF000000"/>
        <bgColor rgb="FF000000"/>
      </patternFill>
    </fill>
    <fill>
      <patternFill patternType="solid">
        <fgColor rgb="FFFF9900"/>
        <bgColor rgb="FFFF9900"/>
      </patternFill>
    </fill>
    <fill>
      <patternFill patternType="solid">
        <fgColor rgb="FFFFFFFF"/>
        <bgColor rgb="FFFFFFFF"/>
      </patternFill>
    </fill>
    <fill>
      <patternFill patternType="solid">
        <fgColor rgb="FF00FF00"/>
        <bgColor rgb="FF00FF00"/>
      </patternFill>
    </fill>
    <fill>
      <patternFill patternType="solid">
        <fgColor rgb="FFEA9999"/>
        <bgColor rgb="FFEA9999"/>
      </patternFill>
    </fill>
    <fill>
      <patternFill patternType="solid">
        <fgColor rgb="FF9FC5E8"/>
        <bgColor rgb="FF9FC5E8"/>
      </patternFill>
    </fill>
    <fill>
      <patternFill patternType="solid">
        <fgColor rgb="FF999999"/>
        <bgColor rgb="FF999999"/>
      </patternFill>
    </fill>
    <fill>
      <patternFill patternType="solid">
        <fgColor rgb="FFF1F1F1"/>
        <bgColor rgb="FFF1F1F1"/>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1" fillId="2" fontId="1" numFmtId="0" xfId="0" applyBorder="1" applyFill="1" applyFont="1"/>
    <xf borderId="1" fillId="3" fontId="1" numFmtId="0" xfId="0" applyAlignment="1" applyBorder="1" applyFill="1" applyFont="1">
      <alignment readingOrder="0"/>
    </xf>
    <xf borderId="0" fillId="0" fontId="1" numFmtId="164" xfId="0" applyAlignment="1" applyFont="1" applyNumberFormat="1">
      <alignment readingOrder="0"/>
    </xf>
    <xf borderId="0" fillId="4" fontId="2" numFmtId="0" xfId="0" applyAlignment="1" applyFill="1" applyFont="1">
      <alignment readingOrder="0"/>
    </xf>
    <xf borderId="0" fillId="5" fontId="3" numFmtId="0" xfId="0" applyAlignment="1" applyFill="1" applyFont="1">
      <alignment readingOrder="0"/>
    </xf>
    <xf borderId="0" fillId="5" fontId="4" numFmtId="0" xfId="0" applyAlignment="1" applyFont="1">
      <alignment readingOrder="0"/>
    </xf>
    <xf borderId="1" fillId="0" fontId="1" numFmtId="0" xfId="0" applyAlignment="1" applyBorder="1" applyFont="1">
      <alignment readingOrder="0"/>
    </xf>
    <xf borderId="0" fillId="0" fontId="5" numFmtId="0" xfId="0" applyAlignment="1" applyFont="1">
      <alignment readingOrder="0"/>
    </xf>
    <xf borderId="0" fillId="4" fontId="0" numFmtId="0" xfId="0" applyAlignment="1" applyFont="1">
      <alignment readingOrder="0"/>
    </xf>
    <xf borderId="0" fillId="0" fontId="1" numFmtId="165" xfId="0" applyAlignment="1" applyFont="1" applyNumberFormat="1">
      <alignment readingOrder="0"/>
    </xf>
    <xf borderId="1" fillId="0" fontId="1" numFmtId="0" xfId="0" applyBorder="1" applyFont="1"/>
    <xf borderId="0" fillId="0" fontId="1" numFmtId="0" xfId="0" applyFont="1"/>
    <xf borderId="1" fillId="6" fontId="1" numFmtId="0" xfId="0" applyAlignment="1" applyBorder="1" applyFill="1" applyFont="1">
      <alignment readingOrder="0"/>
    </xf>
    <xf borderId="1" fillId="7" fontId="1" numFmtId="0" xfId="0" applyAlignment="1" applyBorder="1" applyFill="1" applyFont="1">
      <alignment readingOrder="0"/>
    </xf>
    <xf borderId="0" fillId="0" fontId="6" numFmtId="0" xfId="0" applyAlignment="1" applyFont="1">
      <alignment readingOrder="0"/>
    </xf>
    <xf borderId="1" fillId="8" fontId="1" numFmtId="0" xfId="0" applyAlignment="1" applyBorder="1" applyFill="1" applyFont="1">
      <alignment readingOrder="0"/>
    </xf>
    <xf borderId="1" fillId="8" fontId="1" numFmtId="0" xfId="0" applyBorder="1" applyFont="1"/>
    <xf borderId="0" fillId="0" fontId="7" numFmtId="0" xfId="0" applyAlignment="1" applyFont="1">
      <alignment readingOrder="0"/>
    </xf>
    <xf borderId="1" fillId="0" fontId="4" numFmtId="0" xfId="0" applyAlignment="1" applyBorder="1" applyFont="1">
      <alignment horizontal="center" readingOrder="0"/>
    </xf>
    <xf borderId="1" fillId="0" fontId="1" numFmtId="0" xfId="0" applyAlignment="1" applyBorder="1" applyFont="1">
      <alignment horizontal="center" readingOrder="0"/>
    </xf>
    <xf borderId="1" fillId="0" fontId="1" numFmtId="0" xfId="0" applyAlignment="1" applyBorder="1" applyFont="1">
      <alignment horizontal="center"/>
    </xf>
    <xf borderId="0" fillId="4" fontId="8" numFmtId="0" xfId="0" applyAlignment="1" applyFont="1">
      <alignment horizontal="left" readingOrder="0"/>
    </xf>
    <xf borderId="0" fillId="0" fontId="9" numFmtId="0" xfId="0" applyAlignment="1" applyFont="1">
      <alignment readingOrder="0"/>
    </xf>
    <xf borderId="0" fillId="9" fontId="8" numFmtId="0" xfId="0" applyAlignment="1" applyFill="1" applyFont="1">
      <alignment readingOrder="0"/>
    </xf>
    <xf quotePrefix="1" borderId="0" fillId="0" fontId="1" numFmtId="0" xfId="0" applyAlignment="1" applyFont="1">
      <alignment readingOrder="0"/>
    </xf>
    <xf borderId="0" fillId="0" fontId="1" numFmtId="166" xfId="0" applyAlignment="1" applyFont="1" applyNumberFormat="1">
      <alignment readingOrder="0"/>
    </xf>
    <xf borderId="0" fillId="10" fontId="1" numFmtId="0" xfId="0" applyAlignment="1" applyFill="1" applyFont="1">
      <alignment readingOrder="0"/>
    </xf>
    <xf borderId="2" fillId="0" fontId="1" numFmtId="0" xfId="0" applyAlignment="1" applyBorder="1" applyFont="1">
      <alignment horizontal="center"/>
    </xf>
    <xf borderId="2" fillId="0" fontId="1" numFmtId="0" xfId="0" applyAlignment="1" applyBorder="1" applyFont="1">
      <alignment horizontal="center" readingOrder="0"/>
    </xf>
    <xf borderId="0" fillId="0" fontId="1" numFmtId="0" xfId="0" applyAlignment="1" applyFont="1">
      <alignment readingOrder="0" shrinkToFit="0" wrapText="1"/>
    </xf>
    <xf borderId="3" fillId="10" fontId="4" numFmtId="0" xfId="0" applyAlignment="1" applyBorder="1" applyFont="1">
      <alignment readingOrder="0"/>
    </xf>
    <xf borderId="4" fillId="10" fontId="4" numFmtId="0" xfId="0" applyBorder="1" applyFont="1"/>
    <xf borderId="5" fillId="0" fontId="1" numFmtId="0" xfId="0" applyAlignment="1" applyBorder="1" applyFont="1">
      <alignment horizontal="center"/>
    </xf>
    <xf borderId="5" fillId="0" fontId="1" numFmtId="0" xfId="0" applyAlignment="1" applyBorder="1" applyFont="1">
      <alignment horizontal="center" readingOrder="0"/>
    </xf>
    <xf borderId="1" fillId="0" fontId="4" numFmtId="0" xfId="0" applyAlignment="1" applyBorder="1" applyFont="1">
      <alignment horizontal="center"/>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561975</xdr:colOff>
      <xdr:row>9</xdr:row>
      <xdr:rowOff>114300</xdr:rowOff>
    </xdr:from>
    <xdr:ext cx="6153150" cy="4181475"/>
    <xdr:grpSp>
      <xdr:nvGrpSpPr>
        <xdr:cNvPr id="2" name="Shape 2" title="Dessin"/>
        <xdr:cNvGrpSpPr/>
      </xdr:nvGrpSpPr>
      <xdr:grpSpPr>
        <a:xfrm>
          <a:off x="2255624" y="963925"/>
          <a:ext cx="6093501" cy="4158500"/>
          <a:chOff x="2255624" y="963925"/>
          <a:chExt cx="6093501" cy="4158500"/>
        </a:xfrm>
      </xdr:grpSpPr>
      <xdr:sp>
        <xdr:nvSpPr>
          <xdr:cNvPr id="3" name="Shape 3"/>
          <xdr:cNvSpPr/>
        </xdr:nvSpPr>
        <xdr:spPr>
          <a:xfrm>
            <a:off x="2931975" y="1747125"/>
            <a:ext cx="1998150" cy="1476025"/>
          </a:xfrm>
          <a:prstGeom prst="flowChartPreparation">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3353700" y="2359625"/>
            <a:ext cx="15765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Hall de Guilde</a:t>
            </a:r>
            <a:endParaRPr sz="1400"/>
          </a:p>
        </xdr:txBody>
      </xdr:sp>
      <xdr:sp>
        <xdr:nvSpPr>
          <xdr:cNvPr id="5" name="Shape 5"/>
          <xdr:cNvSpPr/>
        </xdr:nvSpPr>
        <xdr:spPr>
          <a:xfrm rot="-317178">
            <a:off x="2255624" y="2483046"/>
            <a:ext cx="1422952" cy="857764"/>
          </a:xfrm>
          <a:prstGeom prst="chord">
            <a:avLst>
              <a:gd fmla="val 2700000" name="adj1"/>
              <a:gd fmla="val 1620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2389775" y="2711825"/>
            <a:ext cx="863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Alchimie</a:t>
            </a:r>
            <a:endParaRPr sz="1400"/>
          </a:p>
        </xdr:txBody>
      </xdr:sp>
      <xdr:sp>
        <xdr:nvSpPr>
          <xdr:cNvPr id="7" name="Shape 7"/>
          <xdr:cNvSpPr/>
        </xdr:nvSpPr>
        <xdr:spPr>
          <a:xfrm>
            <a:off x="3301175" y="3847125"/>
            <a:ext cx="1164900" cy="1275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Salle d’entrainement</a:t>
            </a:r>
            <a:endParaRPr sz="1400"/>
          </a:p>
        </xdr:txBody>
      </xdr:sp>
      <xdr:sp>
        <xdr:nvSpPr>
          <xdr:cNvPr id="8" name="Shape 8"/>
          <xdr:cNvSpPr/>
        </xdr:nvSpPr>
        <xdr:spPr>
          <a:xfrm rot="5400000">
            <a:off x="3351462" y="3386013"/>
            <a:ext cx="1064350" cy="336975"/>
          </a:xfrm>
          <a:prstGeom prst="flowChartMagneticDrum">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9" name="Shape 9"/>
          <xdr:cNvSpPr/>
        </xdr:nvSpPr>
        <xdr:spPr>
          <a:xfrm>
            <a:off x="3715188" y="1586325"/>
            <a:ext cx="336900" cy="160800"/>
          </a:xfrm>
          <a:prstGeom prst="trapezoid">
            <a:avLst>
              <a:gd fmla="val 250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xdr:nvSpPr>
        <xdr:spPr>
          <a:xfrm rot="1553582">
            <a:off x="4670824" y="2889469"/>
            <a:ext cx="491879" cy="233461"/>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rot="-1199774">
            <a:off x="4950166" y="2823706"/>
            <a:ext cx="783429" cy="732936"/>
          </a:xfrm>
          <a:prstGeom prst="diamond">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Chambre</a:t>
            </a:r>
            <a:endParaRPr sz="1400"/>
          </a:p>
        </xdr:txBody>
      </xdr:sp>
      <xdr:sp>
        <xdr:nvSpPr>
          <xdr:cNvPr id="12" name="Shape 12"/>
          <xdr:cNvSpPr txBox="1"/>
        </xdr:nvSpPr>
        <xdr:spPr>
          <a:xfrm>
            <a:off x="3536675" y="1085700"/>
            <a:ext cx="929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Entrée</a:t>
            </a:r>
            <a:endParaRPr sz="1400"/>
          </a:p>
        </xdr:txBody>
      </xdr:sp>
      <xdr:sp>
        <xdr:nvSpPr>
          <xdr:cNvPr id="13" name="Shape 13"/>
          <xdr:cNvSpPr/>
        </xdr:nvSpPr>
        <xdr:spPr>
          <a:xfrm>
            <a:off x="6737500" y="963925"/>
            <a:ext cx="1496100" cy="1476000"/>
          </a:xfrm>
          <a:prstGeom prst="quadArrowCallout">
            <a:avLst>
              <a:gd fmla="val 18515" name="adj1"/>
              <a:gd fmla="val 18515" name="adj2"/>
              <a:gd fmla="val 18515" name="adj3"/>
              <a:gd fmla="val 48123" name="adj4"/>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4" name="Shape 14"/>
          <xdr:cNvSpPr/>
        </xdr:nvSpPr>
        <xdr:spPr>
          <a:xfrm>
            <a:off x="7460450" y="1506150"/>
            <a:ext cx="80400" cy="240900"/>
          </a:xfrm>
          <a:prstGeom prst="quadArrow">
            <a:avLst>
              <a:gd fmla="val 22500" name="adj1"/>
              <a:gd fmla="val 22500" name="adj2"/>
              <a:gd fmla="val 22500" name="adj3"/>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5" name="Shape 15"/>
          <xdr:cNvSpPr txBox="1"/>
        </xdr:nvSpPr>
        <xdr:spPr>
          <a:xfrm>
            <a:off x="6853025" y="1501825"/>
            <a:ext cx="14961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Crypte cachée</a:t>
            </a:r>
            <a:endParaRPr sz="1400"/>
          </a:p>
        </xdr:txBody>
      </xdr: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e" id="{7f74a55a-e3ff-47c5-817d-aaf25a4035f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3-02-04T20:55:39.00" personId="{7f74a55a-e3ff-47c5-817d-aaf25a4035f6}" id="{1bb610a6-6996-417e-b4aa-3ff80d0b6d8c}" done="1">
    <x18tc:text xml:space="preserve">Tonton Satin build it himself</x18tc:text>
  </x18tc:threadedComment>
  <x18tc:threadedComment ref="G8" dT="2023-02-02T22:07:41.00" personId="{7f74a55a-e3ff-47c5-817d-aaf25a4035f6}" id="{88458db0-8a0a-41b1-be3e-e1098fa3ef8b}" done="1">
    <x18tc:text xml:space="preserve">toutes les plantes et les animaux sont mes amis &lt;3</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Sor1ajVTNkrll-AAHiz83Zo8eVL00PaB5QVQ3MIbvCA/edit?usp=sharing" TargetMode="External"/><Relationship Id="rId2" Type="http://schemas.openxmlformats.org/officeDocument/2006/relationships/hyperlink" Target="https://www.aidedd.org/regles/equipement/armure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8.0"/>
    <col customWidth="1" min="3" max="3" width="23.38"/>
    <col customWidth="1" min="4" max="4" width="20.5"/>
    <col customWidth="1" min="5" max="5" width="22.63"/>
    <col customWidth="1" min="6" max="6" width="20.5"/>
    <col customWidth="1" min="7" max="7" width="26.38"/>
    <col customWidth="1" min="8" max="8" width="19.25"/>
    <col customWidth="1" min="9" max="9" width="17.13"/>
    <col customWidth="1" min="10" max="10" width="14.5"/>
  </cols>
  <sheetData>
    <row r="1">
      <c r="A1" s="2"/>
      <c r="B1" s="3" t="s">
        <v>11</v>
      </c>
      <c r="C1" s="3" t="s">
        <v>17</v>
      </c>
      <c r="D1" s="3" t="s">
        <v>20</v>
      </c>
      <c r="E1" s="3" t="s">
        <v>23</v>
      </c>
      <c r="F1" s="3" t="s">
        <v>26</v>
      </c>
      <c r="G1" s="3" t="s">
        <v>29</v>
      </c>
      <c r="H1" s="3" t="s">
        <v>31</v>
      </c>
      <c r="I1" s="3" t="s">
        <v>34</v>
      </c>
      <c r="J1" s="3" t="s">
        <v>38</v>
      </c>
    </row>
    <row r="2">
      <c r="A2" s="8" t="s">
        <v>44</v>
      </c>
      <c r="B2" s="8" t="s">
        <v>54</v>
      </c>
      <c r="C2" s="8" t="s">
        <v>57</v>
      </c>
      <c r="D2" s="8" t="s">
        <v>62</v>
      </c>
      <c r="E2" s="8" t="s">
        <v>65</v>
      </c>
      <c r="F2" s="8" t="s">
        <v>70</v>
      </c>
      <c r="G2" s="10" t="s">
        <v>73</v>
      </c>
      <c r="H2" s="12"/>
      <c r="I2" s="8" t="s">
        <v>86</v>
      </c>
      <c r="J2" s="8" t="s">
        <v>90</v>
      </c>
    </row>
    <row r="3">
      <c r="A3" s="8" t="s">
        <v>94</v>
      </c>
      <c r="B3" s="8" t="s">
        <v>97</v>
      </c>
      <c r="C3" s="8" t="s">
        <v>100</v>
      </c>
      <c r="D3" s="8" t="s">
        <v>104</v>
      </c>
      <c r="E3" s="8" t="s">
        <v>107</v>
      </c>
      <c r="F3" s="8" t="s">
        <v>107</v>
      </c>
      <c r="G3" s="8" t="s">
        <v>113</v>
      </c>
      <c r="H3" s="12"/>
      <c r="I3" s="8" t="s">
        <v>119</v>
      </c>
      <c r="J3" s="8" t="s">
        <v>124</v>
      </c>
    </row>
    <row r="4">
      <c r="A4" s="8" t="s">
        <v>129</v>
      </c>
      <c r="B4" s="8" t="s">
        <v>134</v>
      </c>
      <c r="C4" s="8" t="s">
        <v>138</v>
      </c>
      <c r="D4" s="8" t="s">
        <v>144</v>
      </c>
      <c r="E4" s="8" t="s">
        <v>147</v>
      </c>
      <c r="F4" s="8" t="s">
        <v>153</v>
      </c>
      <c r="G4" s="8" t="s">
        <v>155</v>
      </c>
      <c r="H4" s="12"/>
      <c r="I4" s="8" t="s">
        <v>160</v>
      </c>
      <c r="J4" s="8" t="s">
        <v>162</v>
      </c>
    </row>
    <row r="5">
      <c r="A5" s="8" t="s">
        <v>164</v>
      </c>
      <c r="B5" s="14" t="s">
        <v>167</v>
      </c>
      <c r="C5" s="15" t="s">
        <v>176</v>
      </c>
      <c r="D5" s="15" t="s">
        <v>176</v>
      </c>
      <c r="E5" s="14" t="s">
        <v>186</v>
      </c>
      <c r="F5" s="15" t="s">
        <v>176</v>
      </c>
      <c r="G5" s="14" t="s">
        <v>186</v>
      </c>
      <c r="H5" s="12"/>
      <c r="I5" s="14" t="s">
        <v>186</v>
      </c>
      <c r="J5" s="14" t="s">
        <v>186</v>
      </c>
    </row>
    <row r="6">
      <c r="A6" s="17" t="s">
        <v>199</v>
      </c>
      <c r="B6" s="18"/>
      <c r="C6" s="18"/>
      <c r="D6" s="17"/>
      <c r="E6" s="18"/>
      <c r="F6" s="18"/>
      <c r="G6" s="18"/>
      <c r="H6" s="18"/>
      <c r="I6" s="18"/>
      <c r="J6" s="18"/>
    </row>
    <row r="7">
      <c r="A7" s="8" t="s">
        <v>44</v>
      </c>
      <c r="B7" s="12"/>
      <c r="C7" s="12"/>
      <c r="D7" s="8" t="s">
        <v>225</v>
      </c>
      <c r="E7" s="12"/>
      <c r="F7" s="12"/>
      <c r="G7" s="8" t="s">
        <v>232</v>
      </c>
      <c r="H7" s="12"/>
      <c r="I7" s="12"/>
      <c r="J7" s="12"/>
    </row>
    <row r="8">
      <c r="A8" s="8" t="s">
        <v>94</v>
      </c>
      <c r="B8" s="12"/>
      <c r="C8" s="12"/>
      <c r="D8" s="8" t="s">
        <v>244</v>
      </c>
      <c r="E8" s="12"/>
      <c r="F8" s="8" t="s">
        <v>248</v>
      </c>
      <c r="G8" s="8" t="s">
        <v>251</v>
      </c>
      <c r="H8" s="12"/>
      <c r="I8" s="12"/>
      <c r="J8" s="12"/>
    </row>
    <row r="9">
      <c r="A9" s="8" t="s">
        <v>129</v>
      </c>
      <c r="B9" s="12"/>
      <c r="C9" s="12"/>
      <c r="D9" s="8" t="s">
        <v>261</v>
      </c>
      <c r="E9" s="12"/>
      <c r="F9" s="8" t="s">
        <v>265</v>
      </c>
      <c r="G9" s="23" t="s">
        <v>269</v>
      </c>
      <c r="H9" s="12"/>
      <c r="I9" s="12"/>
      <c r="J9" s="12"/>
    </row>
    <row r="10">
      <c r="A10" s="8" t="s">
        <v>164</v>
      </c>
      <c r="B10" s="12"/>
      <c r="C10" s="12"/>
      <c r="D10" s="15" t="s">
        <v>176</v>
      </c>
      <c r="E10" s="12"/>
      <c r="F10" s="15" t="s">
        <v>176</v>
      </c>
      <c r="G10" s="14" t="s">
        <v>186</v>
      </c>
      <c r="H10" s="12"/>
      <c r="I10" s="12"/>
      <c r="J10" s="1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50.5"/>
    <col customWidth="1" min="8" max="8" width="18.0"/>
    <col customWidth="1" min="9" max="9" width="17.0"/>
    <col customWidth="1" min="10" max="10" width="37.13"/>
  </cols>
  <sheetData>
    <row r="1">
      <c r="A1" s="1" t="s">
        <v>0</v>
      </c>
      <c r="B1" s="6" t="s">
        <v>4</v>
      </c>
      <c r="C1" s="7" t="s">
        <v>43</v>
      </c>
      <c r="I1" s="1" t="s">
        <v>51</v>
      </c>
      <c r="J1" s="1" t="s">
        <v>56</v>
      </c>
    </row>
    <row r="2">
      <c r="A2" s="9" t="s">
        <v>61</v>
      </c>
      <c r="H2" s="1" t="s">
        <v>67</v>
      </c>
      <c r="I2" s="1">
        <v>1000.0</v>
      </c>
    </row>
    <row r="3">
      <c r="H3" s="1" t="s">
        <v>75</v>
      </c>
      <c r="I3" s="1">
        <v>650.0</v>
      </c>
      <c r="J3" s="1" t="s">
        <v>78</v>
      </c>
      <c r="K3" s="1">
        <v>350.0</v>
      </c>
    </row>
    <row r="4">
      <c r="F4" s="1" t="s">
        <v>81</v>
      </c>
      <c r="G4" s="13">
        <f>sum(I2:I7)</f>
        <v>2775</v>
      </c>
      <c r="H4" s="1" t="s">
        <v>120</v>
      </c>
      <c r="I4" s="1">
        <v>125.0</v>
      </c>
      <c r="J4" s="1" t="s">
        <v>125</v>
      </c>
      <c r="K4" s="1">
        <v>350.0</v>
      </c>
    </row>
    <row r="5">
      <c r="H5" s="1" t="s">
        <v>130</v>
      </c>
      <c r="I5" s="1">
        <v>300.0</v>
      </c>
      <c r="J5" s="1" t="s">
        <v>135</v>
      </c>
      <c r="K5" s="1">
        <v>300.0</v>
      </c>
    </row>
    <row r="6">
      <c r="H6" s="1" t="s">
        <v>140</v>
      </c>
      <c r="I6" s="1">
        <v>300.0</v>
      </c>
      <c r="J6" s="1" t="s">
        <v>143</v>
      </c>
      <c r="K6" s="1">
        <v>50.0</v>
      </c>
    </row>
    <row r="7">
      <c r="H7" s="1" t="s">
        <v>148</v>
      </c>
      <c r="I7" s="1">
        <v>400.0</v>
      </c>
      <c r="J7" s="1" t="s">
        <v>152</v>
      </c>
      <c r="K7" s="1">
        <v>1000.0</v>
      </c>
    </row>
    <row r="8">
      <c r="A8" s="16" t="s">
        <v>157</v>
      </c>
      <c r="H8" s="1" t="s">
        <v>192</v>
      </c>
      <c r="I8" s="1">
        <f>sum(I2:I7)-sum(K2:K10)</f>
        <v>725</v>
      </c>
    </row>
    <row r="9">
      <c r="D9" s="1" t="s">
        <v>216</v>
      </c>
    </row>
    <row r="13">
      <c r="J13" s="19"/>
    </row>
    <row r="16">
      <c r="J16" s="19"/>
    </row>
    <row r="22">
      <c r="A22" s="20" t="s">
        <v>229</v>
      </c>
      <c r="B22" s="12"/>
    </row>
    <row r="23">
      <c r="A23" s="12"/>
      <c r="B23" s="12"/>
    </row>
    <row r="24">
      <c r="A24" s="21" t="s">
        <v>246</v>
      </c>
      <c r="B24" s="21" t="s">
        <v>253</v>
      </c>
    </row>
    <row r="25">
      <c r="A25" s="22"/>
      <c r="B25" s="21" t="s">
        <v>259</v>
      </c>
    </row>
    <row r="26">
      <c r="A26" s="12"/>
      <c r="B26" s="8" t="s">
        <v>268</v>
      </c>
    </row>
    <row r="27">
      <c r="A27" s="12"/>
      <c r="B27" s="8" t="s">
        <v>275</v>
      </c>
    </row>
    <row r="28">
      <c r="A28" s="12"/>
      <c r="B28" s="8" t="s">
        <v>280</v>
      </c>
    </row>
    <row r="29">
      <c r="A29" s="12"/>
      <c r="B29" s="25" t="s">
        <v>285</v>
      </c>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sheetData>
  <hyperlinks>
    <hyperlink r:id="rId1" ref="B1"/>
    <hyperlink r:id="rId2" ref="A8"/>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2">
      <c r="A2" s="4">
        <v>44985.0</v>
      </c>
      <c r="B2" s="1" t="s">
        <v>24</v>
      </c>
    </row>
    <row r="3">
      <c r="B3" s="5" t="s">
        <v>28</v>
      </c>
    </row>
    <row r="4">
      <c r="A4" s="1" t="s">
        <v>35</v>
      </c>
    </row>
    <row r="5">
      <c r="A5" s="1" t="s">
        <v>39</v>
      </c>
    </row>
    <row r="6">
      <c r="A6" s="1" t="s">
        <v>42</v>
      </c>
    </row>
    <row r="7">
      <c r="A7" s="1" t="s">
        <v>46</v>
      </c>
    </row>
    <row r="8">
      <c r="A8" s="1" t="s">
        <v>49</v>
      </c>
    </row>
    <row r="9">
      <c r="A9" s="1" t="s">
        <v>52</v>
      </c>
    </row>
    <row r="12">
      <c r="A12" s="1" t="s">
        <v>59</v>
      </c>
    </row>
    <row r="13">
      <c r="A13" s="1" t="s">
        <v>64</v>
      </c>
    </row>
    <row r="14">
      <c r="A14" s="1" t="s">
        <v>69</v>
      </c>
      <c r="E14" s="1" t="s">
        <v>72</v>
      </c>
    </row>
    <row r="15">
      <c r="A15" s="11">
        <v>45013.0</v>
      </c>
    </row>
    <row r="16">
      <c r="A16" s="1" t="s">
        <v>84</v>
      </c>
    </row>
    <row r="17">
      <c r="A17" s="1" t="s">
        <v>88</v>
      </c>
    </row>
    <row r="18">
      <c r="A18" s="1" t="s">
        <v>91</v>
      </c>
    </row>
    <row r="19">
      <c r="A19" s="1" t="s">
        <v>95</v>
      </c>
    </row>
    <row r="20">
      <c r="A20" s="1" t="s">
        <v>98</v>
      </c>
    </row>
    <row r="21">
      <c r="A21" s="1" t="s">
        <v>102</v>
      </c>
    </row>
    <row r="22">
      <c r="A22" s="1" t="s">
        <v>105</v>
      </c>
    </row>
    <row r="23">
      <c r="A23" s="1" t="s">
        <v>109</v>
      </c>
    </row>
    <row r="24">
      <c r="A24" s="1" t="s">
        <v>111</v>
      </c>
    </row>
    <row r="25">
      <c r="A25" s="1" t="s">
        <v>115</v>
      </c>
    </row>
    <row r="26">
      <c r="A26" s="1" t="s">
        <v>117</v>
      </c>
    </row>
    <row r="27">
      <c r="A27" s="1" t="s">
        <v>122</v>
      </c>
    </row>
    <row r="28">
      <c r="A28" s="1" t="s">
        <v>127</v>
      </c>
    </row>
    <row r="29">
      <c r="A29" s="1" t="s">
        <v>132</v>
      </c>
    </row>
    <row r="30">
      <c r="A30" s="1" t="s">
        <v>136</v>
      </c>
    </row>
    <row r="31">
      <c r="A31" s="1" t="s">
        <v>141</v>
      </c>
    </row>
    <row r="33">
      <c r="A33" s="4">
        <v>45027.0</v>
      </c>
    </row>
    <row r="34">
      <c r="A34" s="1" t="s">
        <v>150</v>
      </c>
    </row>
    <row r="35">
      <c r="A35" s="1" t="s">
        <v>156</v>
      </c>
    </row>
    <row r="36">
      <c r="A36" s="1" t="s">
        <v>159</v>
      </c>
    </row>
    <row r="37">
      <c r="A37" s="1" t="s">
        <v>161</v>
      </c>
    </row>
    <row r="38">
      <c r="A38" s="1" t="s">
        <v>163</v>
      </c>
    </row>
    <row r="39">
      <c r="A39" s="1" t="s">
        <v>165</v>
      </c>
    </row>
    <row r="40">
      <c r="A40" s="1" t="s">
        <v>169</v>
      </c>
    </row>
    <row r="41">
      <c r="A41" s="1"/>
    </row>
    <row r="42">
      <c r="A42" s="1" t="s">
        <v>173</v>
      </c>
    </row>
    <row r="43">
      <c r="A43" s="1" t="s">
        <v>177</v>
      </c>
    </row>
    <row r="44">
      <c r="A44" s="1" t="s">
        <v>180</v>
      </c>
    </row>
    <row r="45">
      <c r="A45" s="1" t="s">
        <v>183</v>
      </c>
      <c r="B45" s="1" t="s">
        <v>185</v>
      </c>
    </row>
    <row r="46">
      <c r="A46" s="1" t="s">
        <v>188</v>
      </c>
      <c r="D46" s="1" t="s">
        <v>190</v>
      </c>
    </row>
    <row r="48">
      <c r="A48" s="4">
        <v>45041.0</v>
      </c>
    </row>
    <row r="49">
      <c r="A49" s="1" t="s">
        <v>194</v>
      </c>
    </row>
    <row r="50">
      <c r="A50" s="1" t="s">
        <v>197</v>
      </c>
    </row>
    <row r="51">
      <c r="A51" s="1" t="s">
        <v>201</v>
      </c>
    </row>
    <row r="52">
      <c r="A52" s="1" t="s">
        <v>204</v>
      </c>
    </row>
    <row r="53">
      <c r="A53" s="1" t="s">
        <v>206</v>
      </c>
    </row>
    <row r="54">
      <c r="A54" s="1" t="s">
        <v>209</v>
      </c>
    </row>
    <row r="55">
      <c r="A55" s="1" t="s">
        <v>211</v>
      </c>
    </row>
    <row r="56">
      <c r="A56" s="1" t="s">
        <v>214</v>
      </c>
    </row>
    <row r="57">
      <c r="A57" s="1" t="s">
        <v>218</v>
      </c>
    </row>
    <row r="58">
      <c r="A58" s="1" t="s">
        <v>220</v>
      </c>
    </row>
    <row r="59">
      <c r="A59" s="1" t="s">
        <v>223</v>
      </c>
    </row>
    <row r="60">
      <c r="A60" s="1" t="s">
        <v>227</v>
      </c>
    </row>
    <row r="61">
      <c r="A61" s="1" t="s">
        <v>230</v>
      </c>
    </row>
    <row r="62">
      <c r="A62" s="1" t="s">
        <v>234</v>
      </c>
    </row>
    <row r="63">
      <c r="A63" s="1" t="s">
        <v>237</v>
      </c>
    </row>
    <row r="64">
      <c r="A64" s="1" t="s">
        <v>240</v>
      </c>
    </row>
    <row r="65">
      <c r="A65" s="1" t="s">
        <v>242</v>
      </c>
    </row>
    <row r="66">
      <c r="A66" s="1" t="s">
        <v>245</v>
      </c>
    </row>
    <row r="67">
      <c r="A67" s="1" t="s">
        <v>250</v>
      </c>
    </row>
    <row r="69">
      <c r="A69" s="4">
        <v>45055.0</v>
      </c>
    </row>
    <row r="70">
      <c r="A70" s="1" t="s">
        <v>255</v>
      </c>
    </row>
    <row r="71">
      <c r="A71" s="1" t="s">
        <v>258</v>
      </c>
    </row>
    <row r="72">
      <c r="A72" s="1" t="s">
        <v>262</v>
      </c>
    </row>
    <row r="73">
      <c r="A73" s="1" t="s">
        <v>266</v>
      </c>
    </row>
    <row r="74">
      <c r="A74" s="1" t="s">
        <v>271</v>
      </c>
    </row>
    <row r="75">
      <c r="A75" s="1" t="s">
        <v>273</v>
      </c>
    </row>
    <row r="76">
      <c r="A76" s="1" t="s">
        <v>276</v>
      </c>
    </row>
    <row r="77">
      <c r="A77" s="1" t="s">
        <v>279</v>
      </c>
    </row>
    <row r="78">
      <c r="A78" s="1" t="s">
        <v>282</v>
      </c>
      <c r="J78" s="24" t="s">
        <v>284</v>
      </c>
    </row>
    <row r="79">
      <c r="A79" s="1" t="s">
        <v>288</v>
      </c>
    </row>
    <row r="81">
      <c r="A81" s="4">
        <v>45069.0</v>
      </c>
    </row>
    <row r="82">
      <c r="A82" s="1" t="s">
        <v>289</v>
      </c>
    </row>
    <row r="83">
      <c r="A83" s="1" t="s">
        <v>290</v>
      </c>
    </row>
    <row r="84">
      <c r="A84" s="1" t="s">
        <v>291</v>
      </c>
    </row>
    <row r="85">
      <c r="A85" s="1" t="s">
        <v>293</v>
      </c>
    </row>
    <row r="86">
      <c r="A86" s="1"/>
    </row>
    <row r="87">
      <c r="A87" s="1"/>
    </row>
    <row r="88">
      <c r="A88" s="1" t="s">
        <v>297</v>
      </c>
    </row>
    <row r="89">
      <c r="A89" s="1" t="s">
        <v>299</v>
      </c>
    </row>
    <row r="90">
      <c r="A90" s="1" t="s">
        <v>301</v>
      </c>
    </row>
    <row r="91">
      <c r="A91" s="1" t="s">
        <v>303</v>
      </c>
    </row>
    <row r="92">
      <c r="A92" s="1" t="s">
        <v>305</v>
      </c>
    </row>
    <row r="93">
      <c r="A93" s="1" t="s">
        <v>307</v>
      </c>
    </row>
    <row r="94">
      <c r="A94" s="1" t="s">
        <v>310</v>
      </c>
    </row>
    <row r="95">
      <c r="A95" s="1" t="s">
        <v>313</v>
      </c>
    </row>
    <row r="96">
      <c r="A96" s="1" t="s">
        <v>315</v>
      </c>
    </row>
    <row r="97">
      <c r="A97" s="1" t="s">
        <v>317</v>
      </c>
    </row>
    <row r="98">
      <c r="A98" s="1" t="s">
        <v>319</v>
      </c>
    </row>
    <row r="99">
      <c r="A99" s="1" t="s">
        <v>321</v>
      </c>
    </row>
    <row r="100">
      <c r="A100" s="1" t="s">
        <v>322</v>
      </c>
    </row>
    <row r="102">
      <c r="A102" s="4">
        <v>45083.0</v>
      </c>
    </row>
    <row r="103">
      <c r="A103" s="1" t="s">
        <v>323</v>
      </c>
    </row>
    <row r="104">
      <c r="A104" s="1" t="s">
        <v>324</v>
      </c>
    </row>
    <row r="105">
      <c r="A105" s="1" t="s">
        <v>326</v>
      </c>
    </row>
    <row r="106">
      <c r="A106" s="1" t="s">
        <v>329</v>
      </c>
    </row>
    <row r="107">
      <c r="A107" s="1" t="s">
        <v>331</v>
      </c>
    </row>
    <row r="108">
      <c r="A108" s="1" t="s">
        <v>334</v>
      </c>
    </row>
    <row r="109">
      <c r="A109" s="1" t="s">
        <v>336</v>
      </c>
    </row>
    <row r="110">
      <c r="A110" s="1" t="s">
        <v>339</v>
      </c>
    </row>
    <row r="111">
      <c r="A111" s="1" t="s">
        <v>341</v>
      </c>
    </row>
    <row r="112">
      <c r="A112" s="1" t="s">
        <v>343</v>
      </c>
    </row>
    <row r="113">
      <c r="A113" s="1" t="s">
        <v>346</v>
      </c>
    </row>
    <row r="114">
      <c r="A114" s="1" t="s">
        <v>351</v>
      </c>
    </row>
    <row r="115">
      <c r="A115" s="1" t="s">
        <v>354</v>
      </c>
    </row>
    <row r="116">
      <c r="A116" s="1" t="s">
        <v>356</v>
      </c>
    </row>
    <row r="118">
      <c r="A118" s="4">
        <v>45098.0</v>
      </c>
    </row>
    <row r="119">
      <c r="A119" s="1" t="s">
        <v>361</v>
      </c>
      <c r="K119" s="1" t="s">
        <v>363</v>
      </c>
    </row>
    <row r="120">
      <c r="A120" s="1" t="s">
        <v>366</v>
      </c>
    </row>
    <row r="121">
      <c r="A121" s="1" t="s">
        <v>368</v>
      </c>
    </row>
    <row r="122">
      <c r="A122" s="1" t="s">
        <v>369</v>
      </c>
    </row>
    <row r="123">
      <c r="A123" s="1" t="s">
        <v>371</v>
      </c>
    </row>
    <row r="124">
      <c r="A124" s="1" t="s">
        <v>373</v>
      </c>
    </row>
    <row r="125">
      <c r="A125" s="1" t="s">
        <v>375</v>
      </c>
    </row>
    <row r="126">
      <c r="A126" s="1" t="s">
        <v>377</v>
      </c>
    </row>
    <row r="127">
      <c r="A127" s="1" t="s">
        <v>379</v>
      </c>
    </row>
    <row r="128">
      <c r="A128" s="1" t="s">
        <v>381</v>
      </c>
    </row>
    <row r="129">
      <c r="A129" s="1" t="s">
        <v>383</v>
      </c>
    </row>
    <row r="130">
      <c r="A130" s="1" t="s">
        <v>385</v>
      </c>
    </row>
    <row r="131">
      <c r="A131" s="1" t="s">
        <v>387</v>
      </c>
    </row>
    <row r="132">
      <c r="A132" s="1" t="s">
        <v>389</v>
      </c>
    </row>
    <row r="133">
      <c r="A133" s="1" t="s">
        <v>391</v>
      </c>
    </row>
    <row r="134">
      <c r="A134" s="1" t="s">
        <v>393</v>
      </c>
    </row>
    <row r="135">
      <c r="A135" s="1" t="s">
        <v>395</v>
      </c>
    </row>
    <row r="136">
      <c r="A136" s="1" t="s">
        <v>398</v>
      </c>
    </row>
    <row r="138">
      <c r="A138" s="4">
        <v>45111.0</v>
      </c>
    </row>
    <row r="139">
      <c r="A139" s="1" t="s">
        <v>402</v>
      </c>
    </row>
    <row r="140">
      <c r="A140" s="1" t="s">
        <v>404</v>
      </c>
    </row>
    <row r="141">
      <c r="A141" s="1" t="s">
        <v>407</v>
      </c>
    </row>
    <row r="142">
      <c r="A142" s="1" t="s">
        <v>410</v>
      </c>
    </row>
    <row r="143">
      <c r="A143" s="13">
        <f> 300+50+(15*5)+50+20+30</f>
        <v>525</v>
      </c>
      <c r="B143" s="1" t="s">
        <v>419</v>
      </c>
    </row>
    <row r="144">
      <c r="A144" s="1" t="s">
        <v>422</v>
      </c>
    </row>
    <row r="145">
      <c r="A145" s="1" t="s">
        <v>425</v>
      </c>
    </row>
    <row r="146">
      <c r="A146" s="1" t="s">
        <v>427</v>
      </c>
    </row>
    <row r="148">
      <c r="A148" s="4">
        <v>45125.0</v>
      </c>
    </row>
    <row r="149">
      <c r="A149" s="1" t="s">
        <v>429</v>
      </c>
    </row>
    <row r="150">
      <c r="A150" s="1" t="s">
        <v>431</v>
      </c>
    </row>
    <row r="151">
      <c r="A151" s="1" t="s">
        <v>434</v>
      </c>
    </row>
    <row r="152">
      <c r="A152" s="1" t="s">
        <v>437</v>
      </c>
    </row>
    <row r="153">
      <c r="A153" s="1" t="s">
        <v>439</v>
      </c>
    </row>
    <row r="154">
      <c r="A154" s="1" t="s">
        <v>442</v>
      </c>
    </row>
    <row r="155">
      <c r="A155" s="1" t="s">
        <v>444</v>
      </c>
    </row>
    <row r="156">
      <c r="A156" s="1" t="s">
        <v>447</v>
      </c>
    </row>
    <row r="157">
      <c r="A157" s="1" t="s">
        <v>450</v>
      </c>
    </row>
    <row r="158">
      <c r="A158" s="1" t="s">
        <v>453</v>
      </c>
    </row>
    <row r="159">
      <c r="A159" s="1" t="s">
        <v>455</v>
      </c>
    </row>
    <row r="160">
      <c r="A160" s="1" t="s">
        <v>457</v>
      </c>
    </row>
    <row r="161">
      <c r="A161" s="1" t="s">
        <v>460</v>
      </c>
    </row>
    <row r="162">
      <c r="A162" s="1" t="s">
        <v>462</v>
      </c>
    </row>
    <row r="163">
      <c r="A163" s="1" t="s">
        <v>464</v>
      </c>
    </row>
    <row r="165">
      <c r="A165" s="4">
        <v>45132.0</v>
      </c>
    </row>
    <row r="166">
      <c r="A166" s="1" t="s">
        <v>468</v>
      </c>
    </row>
    <row r="167">
      <c r="A167" s="1" t="s">
        <v>469</v>
      </c>
    </row>
    <row r="168">
      <c r="A168" s="1" t="s">
        <v>470</v>
      </c>
    </row>
    <row r="169">
      <c r="A169" s="1" t="s">
        <v>471</v>
      </c>
    </row>
    <row r="170">
      <c r="A170" s="1" t="s">
        <v>472</v>
      </c>
    </row>
    <row r="171">
      <c r="A171" s="1" t="s">
        <v>473</v>
      </c>
    </row>
    <row r="172">
      <c r="A172" s="1" t="s">
        <v>474</v>
      </c>
    </row>
    <row r="173">
      <c r="A173" s="1" t="s">
        <v>475</v>
      </c>
    </row>
    <row r="174">
      <c r="A174" s="1" t="s">
        <v>476</v>
      </c>
    </row>
    <row r="175">
      <c r="A175" s="1" t="s">
        <v>477</v>
      </c>
    </row>
    <row r="176">
      <c r="A176" s="1" t="s">
        <v>478</v>
      </c>
    </row>
    <row r="177">
      <c r="A177" s="1" t="s">
        <v>479</v>
      </c>
    </row>
    <row r="178">
      <c r="A178" s="1" t="s">
        <v>480</v>
      </c>
    </row>
    <row r="179">
      <c r="A179" s="1" t="s">
        <v>481</v>
      </c>
    </row>
    <row r="181">
      <c r="A181" s="4">
        <v>45182.0</v>
      </c>
    </row>
    <row r="182">
      <c r="A182" s="1" t="s">
        <v>482</v>
      </c>
    </row>
    <row r="183">
      <c r="A183" s="1" t="s">
        <v>483</v>
      </c>
    </row>
    <row r="184">
      <c r="A184" s="1" t="s">
        <v>484</v>
      </c>
    </row>
    <row r="185">
      <c r="A185" s="1" t="s">
        <v>485</v>
      </c>
    </row>
    <row r="186">
      <c r="A186" s="1" t="s">
        <v>486</v>
      </c>
    </row>
    <row r="187">
      <c r="A187" s="1" t="s">
        <v>487</v>
      </c>
    </row>
    <row r="188">
      <c r="A188" s="1" t="s">
        <v>488</v>
      </c>
    </row>
    <row r="189">
      <c r="A189" s="1" t="s">
        <v>489</v>
      </c>
    </row>
    <row r="190">
      <c r="A190" s="1" t="s">
        <v>490</v>
      </c>
    </row>
    <row r="191">
      <c r="A191" s="1" t="s">
        <v>491</v>
      </c>
    </row>
    <row r="790">
      <c r="O790"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4.63"/>
  </cols>
  <sheetData>
    <row r="1">
      <c r="A1" s="1"/>
    </row>
    <row r="4">
      <c r="A4" s="1" t="s">
        <v>1</v>
      </c>
    </row>
    <row r="5">
      <c r="A5" s="1" t="s">
        <v>2</v>
      </c>
    </row>
    <row r="6">
      <c r="A6" s="1" t="s">
        <v>3</v>
      </c>
    </row>
    <row r="7">
      <c r="A7" s="1" t="s">
        <v>5</v>
      </c>
    </row>
    <row r="8">
      <c r="A8" s="1" t="s">
        <v>6</v>
      </c>
    </row>
    <row r="9">
      <c r="A9" s="1" t="s">
        <v>7</v>
      </c>
    </row>
    <row r="10">
      <c r="A10" s="1" t="s">
        <v>8</v>
      </c>
    </row>
    <row r="11">
      <c r="A11" s="1" t="s">
        <v>9</v>
      </c>
    </row>
    <row r="12">
      <c r="A12" s="1" t="s">
        <v>10</v>
      </c>
    </row>
    <row r="14">
      <c r="A14" s="1" t="s">
        <v>12</v>
      </c>
    </row>
    <row r="15">
      <c r="A15" s="1" t="s">
        <v>13</v>
      </c>
    </row>
    <row r="16">
      <c r="A16" s="1" t="s">
        <v>14</v>
      </c>
    </row>
    <row r="17">
      <c r="A17" s="1" t="s">
        <v>15</v>
      </c>
    </row>
    <row r="18">
      <c r="A18" s="1" t="s">
        <v>16</v>
      </c>
    </row>
    <row r="19">
      <c r="A19" s="1" t="s">
        <v>18</v>
      </c>
    </row>
    <row r="20">
      <c r="A20" s="1" t="s">
        <v>19</v>
      </c>
    </row>
    <row r="21">
      <c r="A21" s="1" t="s">
        <v>21</v>
      </c>
    </row>
    <row r="22">
      <c r="A22" s="1" t="s">
        <v>22</v>
      </c>
    </row>
    <row r="23">
      <c r="A23" s="1" t="s">
        <v>25</v>
      </c>
    </row>
    <row r="24">
      <c r="A24" s="1" t="s">
        <v>27</v>
      </c>
    </row>
    <row r="25">
      <c r="A25" s="1" t="s">
        <v>30</v>
      </c>
    </row>
    <row r="26">
      <c r="A26" s="1" t="s">
        <v>32</v>
      </c>
    </row>
    <row r="27">
      <c r="A27" s="1" t="s">
        <v>33</v>
      </c>
    </row>
    <row r="28">
      <c r="A28" s="1" t="s">
        <v>36</v>
      </c>
    </row>
    <row r="29">
      <c r="A29" s="1" t="s">
        <v>37</v>
      </c>
    </row>
    <row r="30">
      <c r="A30" s="1" t="s">
        <v>40</v>
      </c>
    </row>
    <row r="31">
      <c r="A31" s="1" t="s">
        <v>41</v>
      </c>
    </row>
    <row r="32">
      <c r="A32" s="1" t="s">
        <v>45</v>
      </c>
    </row>
    <row r="33">
      <c r="A33" s="1" t="s">
        <v>47</v>
      </c>
    </row>
    <row r="34">
      <c r="A34" s="1" t="s">
        <v>48</v>
      </c>
    </row>
    <row r="35">
      <c r="A35" s="1" t="s">
        <v>50</v>
      </c>
    </row>
    <row r="36">
      <c r="A36" s="1" t="s">
        <v>53</v>
      </c>
    </row>
    <row r="37">
      <c r="A37" s="1" t="s">
        <v>55</v>
      </c>
    </row>
    <row r="38">
      <c r="A38" s="1" t="s">
        <v>58</v>
      </c>
    </row>
    <row r="39">
      <c r="A39" s="1" t="s">
        <v>60</v>
      </c>
    </row>
    <row r="40">
      <c r="A40" s="1" t="s">
        <v>63</v>
      </c>
    </row>
    <row r="41">
      <c r="A41" s="1" t="s">
        <v>66</v>
      </c>
    </row>
    <row r="42">
      <c r="A42" s="1" t="s">
        <v>68</v>
      </c>
    </row>
    <row r="43">
      <c r="A43" s="1" t="s">
        <v>71</v>
      </c>
    </row>
    <row r="44">
      <c r="A44" s="1" t="s">
        <v>74</v>
      </c>
    </row>
    <row r="45">
      <c r="A45" s="1" t="s">
        <v>76</v>
      </c>
    </row>
    <row r="46">
      <c r="A46" s="1" t="s">
        <v>77</v>
      </c>
    </row>
    <row r="47">
      <c r="A47" s="1" t="s">
        <v>79</v>
      </c>
    </row>
    <row r="48">
      <c r="A48" s="1" t="s">
        <v>80</v>
      </c>
    </row>
    <row r="49">
      <c r="A49" s="1" t="s">
        <v>82</v>
      </c>
    </row>
    <row r="50">
      <c r="A50" s="1" t="s">
        <v>83</v>
      </c>
    </row>
    <row r="51">
      <c r="A51" s="1" t="s">
        <v>85</v>
      </c>
    </row>
    <row r="52">
      <c r="A52" s="1" t="s">
        <v>87</v>
      </c>
    </row>
    <row r="53">
      <c r="A53" s="1" t="s">
        <v>89</v>
      </c>
    </row>
    <row r="54">
      <c r="A54" s="1" t="s">
        <v>92</v>
      </c>
    </row>
    <row r="55">
      <c r="A55" s="1" t="s">
        <v>93</v>
      </c>
    </row>
    <row r="56">
      <c r="A56" s="1" t="s">
        <v>96</v>
      </c>
    </row>
    <row r="57">
      <c r="A57" s="1" t="s">
        <v>99</v>
      </c>
    </row>
    <row r="58">
      <c r="A58" s="1" t="s">
        <v>101</v>
      </c>
    </row>
    <row r="59">
      <c r="A59" s="1" t="s">
        <v>103</v>
      </c>
    </row>
    <row r="60">
      <c r="A60" s="1" t="s">
        <v>106</v>
      </c>
    </row>
    <row r="61">
      <c r="A61" s="1" t="s">
        <v>108</v>
      </c>
    </row>
    <row r="62">
      <c r="A62" s="1" t="s">
        <v>110</v>
      </c>
    </row>
    <row r="63">
      <c r="A63" s="1" t="s">
        <v>112</v>
      </c>
    </row>
    <row r="64">
      <c r="A64" s="1" t="s">
        <v>114</v>
      </c>
    </row>
    <row r="65">
      <c r="A65" s="1" t="s">
        <v>116</v>
      </c>
    </row>
    <row r="66">
      <c r="A66" s="1" t="s">
        <v>118</v>
      </c>
    </row>
    <row r="67">
      <c r="A67" s="1" t="s">
        <v>121</v>
      </c>
    </row>
    <row r="68">
      <c r="A68" s="1" t="s">
        <v>123</v>
      </c>
    </row>
    <row r="69">
      <c r="A69" s="1" t="s">
        <v>126</v>
      </c>
    </row>
    <row r="70">
      <c r="A70" s="1" t="s">
        <v>128</v>
      </c>
    </row>
    <row r="71">
      <c r="A71" s="1" t="s">
        <v>131</v>
      </c>
    </row>
    <row r="72">
      <c r="A72" s="1" t="s">
        <v>133</v>
      </c>
    </row>
    <row r="73">
      <c r="A73" s="1" t="s">
        <v>137</v>
      </c>
    </row>
    <row r="74">
      <c r="A74" s="1" t="s">
        <v>139</v>
      </c>
    </row>
    <row r="75">
      <c r="A75" s="1" t="s">
        <v>142</v>
      </c>
    </row>
    <row r="76">
      <c r="A76" s="1" t="s">
        <v>145</v>
      </c>
    </row>
    <row r="77">
      <c r="A77" s="1" t="s">
        <v>146</v>
      </c>
    </row>
    <row r="78">
      <c r="A78" s="1" t="s">
        <v>149</v>
      </c>
    </row>
    <row r="79">
      <c r="A79" s="1" t="s">
        <v>151</v>
      </c>
    </row>
    <row r="80">
      <c r="A80" s="1" t="s">
        <v>154</v>
      </c>
    </row>
    <row r="81">
      <c r="A81" s="1" t="s">
        <v>158</v>
      </c>
    </row>
    <row r="82">
      <c r="A82" s="1" t="s">
        <v>166</v>
      </c>
    </row>
    <row r="83">
      <c r="A83" s="1" t="s">
        <v>168</v>
      </c>
    </row>
    <row r="85">
      <c r="A85" s="1" t="s">
        <v>170</v>
      </c>
    </row>
    <row r="86">
      <c r="A86" s="1" t="s">
        <v>171</v>
      </c>
    </row>
    <row r="87">
      <c r="A87" s="1" t="s">
        <v>172</v>
      </c>
    </row>
    <row r="88">
      <c r="A88" s="1" t="s">
        <v>174</v>
      </c>
    </row>
    <row r="89">
      <c r="A89" s="1" t="s">
        <v>175</v>
      </c>
    </row>
    <row r="90">
      <c r="A90" s="1" t="s">
        <v>178</v>
      </c>
    </row>
    <row r="91">
      <c r="A91" s="1" t="s">
        <v>179</v>
      </c>
    </row>
    <row r="92">
      <c r="A92" s="1" t="s">
        <v>181</v>
      </c>
    </row>
    <row r="93">
      <c r="A93" s="1" t="s">
        <v>182</v>
      </c>
    </row>
    <row r="94">
      <c r="A94" s="1" t="s">
        <v>184</v>
      </c>
    </row>
    <row r="95">
      <c r="A95" s="1" t="s">
        <v>187</v>
      </c>
    </row>
    <row r="96">
      <c r="A96" s="1" t="s">
        <v>189</v>
      </c>
    </row>
    <row r="97">
      <c r="A97" s="1" t="s">
        <v>191</v>
      </c>
    </row>
    <row r="98">
      <c r="A98" s="1" t="s">
        <v>193</v>
      </c>
    </row>
    <row r="99">
      <c r="A99" s="1" t="s">
        <v>195</v>
      </c>
    </row>
    <row r="100">
      <c r="A100" s="1" t="s">
        <v>196</v>
      </c>
    </row>
    <row r="101">
      <c r="A101" s="1" t="s">
        <v>198</v>
      </c>
    </row>
    <row r="102">
      <c r="A102" s="1" t="s">
        <v>200</v>
      </c>
    </row>
    <row r="103">
      <c r="A103" s="1" t="s">
        <v>202</v>
      </c>
    </row>
    <row r="104">
      <c r="A104" s="1" t="s">
        <v>203</v>
      </c>
    </row>
    <row r="105">
      <c r="A105" s="1" t="s">
        <v>205</v>
      </c>
    </row>
    <row r="107">
      <c r="A107" s="1" t="s">
        <v>207</v>
      </c>
    </row>
    <row r="108">
      <c r="A108" s="1" t="s">
        <v>208</v>
      </c>
    </row>
    <row r="109">
      <c r="A109" s="1" t="s">
        <v>210</v>
      </c>
    </row>
    <row r="110">
      <c r="A110" s="1" t="s">
        <v>212</v>
      </c>
    </row>
    <row r="111">
      <c r="A111" s="1" t="s">
        <v>213</v>
      </c>
    </row>
    <row r="112">
      <c r="A112" s="1" t="s">
        <v>215</v>
      </c>
    </row>
    <row r="113">
      <c r="A113" s="1" t="s">
        <v>217</v>
      </c>
    </row>
    <row r="114">
      <c r="A114" s="1" t="s">
        <v>219</v>
      </c>
    </row>
    <row r="115">
      <c r="A115" s="1" t="s">
        <v>221</v>
      </c>
    </row>
    <row r="116">
      <c r="A116" s="1" t="s">
        <v>222</v>
      </c>
    </row>
    <row r="117">
      <c r="A117" s="1" t="s">
        <v>224</v>
      </c>
    </row>
    <row r="118">
      <c r="A118" s="1" t="s">
        <v>226</v>
      </c>
    </row>
    <row r="119">
      <c r="A119" s="1" t="s">
        <v>228</v>
      </c>
    </row>
    <row r="120">
      <c r="A120" s="1" t="s">
        <v>231</v>
      </c>
    </row>
    <row r="121">
      <c r="A121" s="1" t="s">
        <v>233</v>
      </c>
    </row>
    <row r="122">
      <c r="A122" s="1" t="s">
        <v>235</v>
      </c>
    </row>
    <row r="123">
      <c r="A123" s="1" t="s">
        <v>236</v>
      </c>
    </row>
    <row r="124">
      <c r="A124" s="1" t="s">
        <v>238</v>
      </c>
    </row>
    <row r="125">
      <c r="A125" s="1" t="s">
        <v>239</v>
      </c>
    </row>
    <row r="126">
      <c r="A126" s="1" t="s">
        <v>241</v>
      </c>
    </row>
    <row r="127">
      <c r="A127" s="1" t="s">
        <v>243</v>
      </c>
    </row>
    <row r="128">
      <c r="A128" s="1">
        <v>7.0</v>
      </c>
    </row>
    <row r="129">
      <c r="A129" s="1" t="s">
        <v>247</v>
      </c>
    </row>
    <row r="130">
      <c r="A130" s="1" t="s">
        <v>249</v>
      </c>
    </row>
    <row r="131">
      <c r="A131" s="1" t="s">
        <v>252</v>
      </c>
    </row>
    <row r="132">
      <c r="A132" s="1" t="s">
        <v>254</v>
      </c>
    </row>
    <row r="133">
      <c r="A133" s="1" t="s">
        <v>256</v>
      </c>
    </row>
    <row r="135">
      <c r="A135" s="1" t="s">
        <v>257</v>
      </c>
    </row>
    <row r="136">
      <c r="A136" s="1" t="s">
        <v>260</v>
      </c>
    </row>
    <row r="137">
      <c r="A137" s="1" t="s">
        <v>263</v>
      </c>
    </row>
    <row r="138">
      <c r="A138" s="1" t="s">
        <v>264</v>
      </c>
    </row>
    <row r="139">
      <c r="A139" s="1" t="s">
        <v>267</v>
      </c>
    </row>
    <row r="141">
      <c r="A141" s="1" t="s">
        <v>270</v>
      </c>
    </row>
    <row r="142">
      <c r="A142" s="1" t="s">
        <v>272</v>
      </c>
    </row>
    <row r="143">
      <c r="A143" s="1" t="s">
        <v>274</v>
      </c>
    </row>
    <row r="144">
      <c r="A144" s="1" t="s">
        <v>277</v>
      </c>
    </row>
    <row r="145">
      <c r="A145" s="1" t="s">
        <v>278</v>
      </c>
    </row>
    <row r="146">
      <c r="A146" s="1" t="s">
        <v>281</v>
      </c>
    </row>
    <row r="147">
      <c r="A147" s="1" t="s">
        <v>283</v>
      </c>
    </row>
    <row r="148">
      <c r="A148" s="1" t="s">
        <v>286</v>
      </c>
    </row>
    <row r="149">
      <c r="A149" s="1" t="s">
        <v>287</v>
      </c>
    </row>
    <row r="150">
      <c r="A150" s="1" t="s">
        <v>292</v>
      </c>
    </row>
    <row r="151">
      <c r="A151" s="1" t="s">
        <v>294</v>
      </c>
    </row>
    <row r="152">
      <c r="A152" s="1" t="s">
        <v>295</v>
      </c>
    </row>
    <row r="153">
      <c r="A153" s="1" t="s">
        <v>296</v>
      </c>
    </row>
    <row r="154">
      <c r="A154" s="1" t="s">
        <v>298</v>
      </c>
    </row>
    <row r="155">
      <c r="A155" s="1" t="s">
        <v>300</v>
      </c>
    </row>
    <row r="156">
      <c r="A156" s="1" t="s">
        <v>302</v>
      </c>
    </row>
    <row r="157">
      <c r="A157" s="1" t="s">
        <v>304</v>
      </c>
    </row>
    <row r="158">
      <c r="A158" s="1" t="s">
        <v>306</v>
      </c>
    </row>
    <row r="159">
      <c r="A159" s="1" t="s">
        <v>308</v>
      </c>
    </row>
    <row r="160">
      <c r="A160" s="1" t="s">
        <v>309</v>
      </c>
    </row>
    <row r="161">
      <c r="A161" s="1" t="s">
        <v>311</v>
      </c>
    </row>
    <row r="162">
      <c r="A162" s="1" t="s">
        <v>312</v>
      </c>
    </row>
    <row r="163">
      <c r="A163" s="1" t="s">
        <v>314</v>
      </c>
    </row>
    <row r="164">
      <c r="A164" s="1" t="s">
        <v>316</v>
      </c>
    </row>
    <row r="165">
      <c r="A165" s="1" t="s">
        <v>318</v>
      </c>
    </row>
    <row r="166">
      <c r="A166" s="1" t="s">
        <v>320</v>
      </c>
    </row>
    <row r="167">
      <c r="A167" s="1" t="s">
        <v>325</v>
      </c>
    </row>
    <row r="168">
      <c r="A168" s="1" t="s">
        <v>327</v>
      </c>
    </row>
    <row r="169">
      <c r="A169" s="1" t="s">
        <v>328</v>
      </c>
    </row>
    <row r="170">
      <c r="A170" s="1" t="s">
        <v>330</v>
      </c>
    </row>
    <row r="171">
      <c r="A171" s="1" t="s">
        <v>332</v>
      </c>
    </row>
    <row r="172">
      <c r="A172" s="1" t="s">
        <v>333</v>
      </c>
    </row>
    <row r="173">
      <c r="A173" s="1" t="s">
        <v>335</v>
      </c>
    </row>
    <row r="174">
      <c r="A174" s="1" t="s">
        <v>337</v>
      </c>
    </row>
    <row r="175">
      <c r="A175" s="1" t="s">
        <v>338</v>
      </c>
    </row>
    <row r="176">
      <c r="A176" s="1" t="s">
        <v>340</v>
      </c>
    </row>
    <row r="177">
      <c r="A177" s="1" t="s">
        <v>342</v>
      </c>
    </row>
    <row r="178">
      <c r="A178" s="1" t="s">
        <v>344</v>
      </c>
    </row>
    <row r="179">
      <c r="A179" s="1" t="s">
        <v>345</v>
      </c>
    </row>
    <row r="180">
      <c r="A180" s="1" t="s">
        <v>347</v>
      </c>
    </row>
    <row r="181">
      <c r="A181" s="1" t="s">
        <v>348</v>
      </c>
    </row>
    <row r="182">
      <c r="A182" s="1" t="s">
        <v>349</v>
      </c>
    </row>
    <row r="183">
      <c r="A183" s="1" t="s">
        <v>350</v>
      </c>
    </row>
    <row r="184">
      <c r="A184" s="1" t="s">
        <v>352</v>
      </c>
    </row>
    <row r="185">
      <c r="A185" s="1" t="s">
        <v>353</v>
      </c>
    </row>
    <row r="186">
      <c r="A186" s="1" t="s">
        <v>355</v>
      </c>
    </row>
    <row r="187">
      <c r="A187" s="1" t="s">
        <v>357</v>
      </c>
    </row>
    <row r="188">
      <c r="A188" s="1" t="s">
        <v>358</v>
      </c>
    </row>
    <row r="189">
      <c r="A189" s="1" t="s">
        <v>359</v>
      </c>
    </row>
    <row r="190">
      <c r="A190" s="1" t="s">
        <v>360</v>
      </c>
    </row>
    <row r="191">
      <c r="A191" s="1" t="s">
        <v>362</v>
      </c>
    </row>
    <row r="192">
      <c r="A192" s="1" t="s">
        <v>364</v>
      </c>
    </row>
    <row r="193">
      <c r="A193" s="1" t="s">
        <v>365</v>
      </c>
    </row>
    <row r="194">
      <c r="A194" s="1" t="s">
        <v>367</v>
      </c>
    </row>
    <row r="195">
      <c r="A195" s="1" t="s">
        <v>370</v>
      </c>
    </row>
    <row r="196">
      <c r="A196" s="1" t="s">
        <v>372</v>
      </c>
    </row>
    <row r="198">
      <c r="A198" s="1" t="s">
        <v>374</v>
      </c>
    </row>
    <row r="199">
      <c r="A199" s="1" t="s">
        <v>376</v>
      </c>
    </row>
    <row r="200">
      <c r="A200" s="1" t="s">
        <v>378</v>
      </c>
    </row>
    <row r="201">
      <c r="A201" s="1" t="s">
        <v>380</v>
      </c>
    </row>
    <row r="203">
      <c r="A203" s="1" t="s">
        <v>382</v>
      </c>
    </row>
    <row r="204">
      <c r="A204" s="1" t="s">
        <v>384</v>
      </c>
    </row>
    <row r="205">
      <c r="A205" s="1" t="s">
        <v>386</v>
      </c>
    </row>
    <row r="206">
      <c r="A206" s="1" t="s">
        <v>388</v>
      </c>
    </row>
    <row r="207">
      <c r="A207" s="1" t="s">
        <v>390</v>
      </c>
    </row>
    <row r="208">
      <c r="A208" s="1" t="s">
        <v>392</v>
      </c>
    </row>
    <row r="209">
      <c r="A209" s="1" t="s">
        <v>394</v>
      </c>
    </row>
    <row r="210">
      <c r="A210" s="1" t="s">
        <v>396</v>
      </c>
    </row>
    <row r="211">
      <c r="A211" s="1" t="s">
        <v>397</v>
      </c>
    </row>
    <row r="212">
      <c r="A212" s="1" t="s">
        <v>399</v>
      </c>
    </row>
    <row r="213">
      <c r="A213" s="1" t="s">
        <v>400</v>
      </c>
    </row>
    <row r="214">
      <c r="A214" s="1" t="s">
        <v>401</v>
      </c>
    </row>
    <row r="215">
      <c r="A215" s="1" t="s">
        <v>403</v>
      </c>
    </row>
    <row r="216">
      <c r="A216" s="1" t="s">
        <v>405</v>
      </c>
    </row>
    <row r="217">
      <c r="A217" s="1" t="s">
        <v>406</v>
      </c>
    </row>
    <row r="218">
      <c r="A218" s="1" t="s">
        <v>408</v>
      </c>
    </row>
    <row r="219">
      <c r="A219" s="1" t="s">
        <v>409</v>
      </c>
    </row>
    <row r="220">
      <c r="A220" s="1" t="s">
        <v>411</v>
      </c>
    </row>
    <row r="221">
      <c r="A221" s="1" t="s">
        <v>412</v>
      </c>
    </row>
    <row r="222">
      <c r="A222" s="1" t="s">
        <v>413</v>
      </c>
    </row>
    <row r="223">
      <c r="A223" s="1" t="s">
        <v>414</v>
      </c>
    </row>
    <row r="224">
      <c r="A224" s="1" t="s">
        <v>415</v>
      </c>
    </row>
    <row r="226">
      <c r="A226" s="1" t="s">
        <v>416</v>
      </c>
    </row>
    <row r="227">
      <c r="A227" s="1" t="s">
        <v>417</v>
      </c>
    </row>
    <row r="228">
      <c r="A228" s="1" t="s">
        <v>418</v>
      </c>
    </row>
    <row r="229">
      <c r="A229" s="1" t="s">
        <v>420</v>
      </c>
    </row>
    <row r="230">
      <c r="A230" s="1" t="s">
        <v>421</v>
      </c>
    </row>
    <row r="231">
      <c r="A231" s="1" t="s">
        <v>423</v>
      </c>
    </row>
    <row r="232">
      <c r="A232" s="1" t="s">
        <v>424</v>
      </c>
    </row>
    <row r="233">
      <c r="A233" s="1" t="s">
        <v>426</v>
      </c>
    </row>
    <row r="234">
      <c r="A234" s="1" t="s">
        <v>428</v>
      </c>
    </row>
    <row r="235">
      <c r="A235" s="1" t="s">
        <v>430</v>
      </c>
    </row>
    <row r="236">
      <c r="A236" s="1" t="s">
        <v>432</v>
      </c>
    </row>
    <row r="237">
      <c r="A237" s="1" t="s">
        <v>433</v>
      </c>
    </row>
    <row r="238">
      <c r="A238" s="1" t="s">
        <v>435</v>
      </c>
    </row>
    <row r="239">
      <c r="A239" s="1" t="s">
        <v>436</v>
      </c>
    </row>
    <row r="240">
      <c r="A240" s="1" t="s">
        <v>438</v>
      </c>
    </row>
    <row r="241">
      <c r="A241" s="1" t="s">
        <v>440</v>
      </c>
    </row>
    <row r="242">
      <c r="A242" s="1" t="s">
        <v>441</v>
      </c>
    </row>
    <row r="243">
      <c r="A243" s="1" t="s">
        <v>443</v>
      </c>
    </row>
    <row r="244">
      <c r="A244" s="1" t="s">
        <v>445</v>
      </c>
    </row>
    <row r="245">
      <c r="A245" s="1" t="s">
        <v>446</v>
      </c>
    </row>
    <row r="246">
      <c r="A246" s="1" t="s">
        <v>448</v>
      </c>
    </row>
    <row r="247">
      <c r="A247" s="1" t="s">
        <v>449</v>
      </c>
    </row>
    <row r="248">
      <c r="A248" s="1" t="s">
        <v>451</v>
      </c>
    </row>
    <row r="249">
      <c r="A249" s="1" t="s">
        <v>452</v>
      </c>
    </row>
    <row r="250">
      <c r="A250" s="1" t="s">
        <v>428</v>
      </c>
    </row>
    <row r="251">
      <c r="A251" s="1" t="s">
        <v>454</v>
      </c>
    </row>
    <row r="253">
      <c r="A253" s="1" t="s">
        <v>456</v>
      </c>
    </row>
    <row r="254">
      <c r="A254" s="1" t="s">
        <v>458</v>
      </c>
    </row>
    <row r="255">
      <c r="A255" s="1" t="s">
        <v>459</v>
      </c>
    </row>
    <row r="256">
      <c r="A256" s="1" t="s">
        <v>461</v>
      </c>
    </row>
    <row r="257">
      <c r="A257" s="1" t="s">
        <v>463</v>
      </c>
    </row>
    <row r="258">
      <c r="A258" s="1" t="s">
        <v>465</v>
      </c>
    </row>
    <row r="259">
      <c r="A259" s="1" t="s">
        <v>466</v>
      </c>
    </row>
    <row r="261">
      <c r="A261" s="26" t="s">
        <v>467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t="s">
        <v>492</v>
      </c>
    </row>
    <row r="4">
      <c r="A4" s="1" t="s">
        <v>493</v>
      </c>
    </row>
    <row r="5">
      <c r="A5" s="1" t="s">
        <v>494</v>
      </c>
    </row>
    <row r="6">
      <c r="A6" s="1" t="s">
        <v>495</v>
      </c>
    </row>
    <row r="7">
      <c r="A7" s="1" t="s">
        <v>496</v>
      </c>
    </row>
    <row r="8">
      <c r="A8" s="1" t="s">
        <v>498</v>
      </c>
    </row>
    <row r="9">
      <c r="A9" s="1" t="s">
        <v>500</v>
      </c>
    </row>
    <row r="10">
      <c r="A10" s="1" t="s">
        <v>502</v>
      </c>
    </row>
    <row r="11">
      <c r="A11" s="1" t="s">
        <v>504</v>
      </c>
    </row>
    <row r="12">
      <c r="A12" s="1" t="s">
        <v>505</v>
      </c>
    </row>
    <row r="13">
      <c r="A13" s="1" t="s">
        <v>507</v>
      </c>
    </row>
    <row r="14">
      <c r="A14" s="1" t="s">
        <v>508</v>
      </c>
    </row>
    <row r="15">
      <c r="A15" s="1" t="s">
        <v>509</v>
      </c>
    </row>
    <row r="17">
      <c r="A17" s="1" t="s">
        <v>511</v>
      </c>
    </row>
    <row r="18">
      <c r="A18" s="1" t="s">
        <v>514</v>
      </c>
    </row>
    <row r="19">
      <c r="A19" s="1" t="s">
        <v>516</v>
      </c>
    </row>
    <row r="20">
      <c r="A20" s="1" t="s">
        <v>519</v>
      </c>
    </row>
    <row r="21">
      <c r="A21" s="1" t="s">
        <v>520</v>
      </c>
    </row>
    <row r="22">
      <c r="A22" s="1" t="s">
        <v>521</v>
      </c>
    </row>
    <row r="23">
      <c r="A23" s="1" t="s">
        <v>523</v>
      </c>
    </row>
    <row r="24">
      <c r="A24" s="1" t="s">
        <v>524</v>
      </c>
    </row>
    <row r="25">
      <c r="A25" s="1" t="s">
        <v>526</v>
      </c>
    </row>
    <row r="26">
      <c r="A26" s="1" t="s">
        <v>528</v>
      </c>
    </row>
    <row r="27">
      <c r="A27" s="1" t="s">
        <v>531</v>
      </c>
    </row>
    <row r="28">
      <c r="A28" s="1" t="s">
        <v>533</v>
      </c>
    </row>
    <row r="29">
      <c r="A29" s="1" t="s">
        <v>535</v>
      </c>
    </row>
    <row r="30">
      <c r="A30" s="1" t="s">
        <v>539</v>
      </c>
    </row>
    <row r="31">
      <c r="A31" s="1" t="s">
        <v>540</v>
      </c>
    </row>
    <row r="32">
      <c r="A32" s="1" t="s">
        <v>541</v>
      </c>
    </row>
    <row r="33">
      <c r="A33" s="1" t="s">
        <v>542</v>
      </c>
    </row>
    <row r="34">
      <c r="A34" s="1" t="s">
        <v>543</v>
      </c>
    </row>
    <row r="35">
      <c r="A35" s="1" t="s">
        <v>544</v>
      </c>
    </row>
    <row r="36">
      <c r="A36" s="1" t="s">
        <v>545</v>
      </c>
    </row>
    <row r="37">
      <c r="A37" s="1" t="s">
        <v>546</v>
      </c>
    </row>
    <row r="38">
      <c r="A38" s="1" t="s">
        <v>547</v>
      </c>
    </row>
    <row r="39">
      <c r="A39" s="1" t="s">
        <v>548</v>
      </c>
    </row>
    <row r="40">
      <c r="A40" s="1" t="s">
        <v>549</v>
      </c>
    </row>
    <row r="41">
      <c r="A41" s="1"/>
    </row>
    <row r="42">
      <c r="A42" s="1" t="s">
        <v>550</v>
      </c>
    </row>
    <row r="43">
      <c r="A43" s="1" t="s">
        <v>551</v>
      </c>
    </row>
    <row r="44">
      <c r="A44" s="1" t="s">
        <v>552</v>
      </c>
    </row>
    <row r="45">
      <c r="A45" s="1" t="s">
        <v>553</v>
      </c>
    </row>
    <row r="46">
      <c r="A46" s="1" t="s">
        <v>554</v>
      </c>
    </row>
    <row r="47">
      <c r="A47" s="1" t="s">
        <v>555</v>
      </c>
    </row>
    <row r="48">
      <c r="A48" s="1" t="s">
        <v>556</v>
      </c>
    </row>
    <row r="49">
      <c r="A49" s="1" t="s">
        <v>557</v>
      </c>
    </row>
    <row r="50">
      <c r="A50" s="1" t="s">
        <v>558</v>
      </c>
    </row>
    <row r="51">
      <c r="A51" s="1" t="s">
        <v>559</v>
      </c>
    </row>
    <row r="52">
      <c r="A52" s="1" t="s">
        <v>560</v>
      </c>
    </row>
    <row r="53">
      <c r="A53" s="1" t="s">
        <v>561</v>
      </c>
    </row>
    <row r="54">
      <c r="A54" s="1" t="s">
        <v>562</v>
      </c>
    </row>
    <row r="55">
      <c r="A55" s="1" t="s">
        <v>563</v>
      </c>
    </row>
    <row r="56">
      <c r="A56" s="1" t="s">
        <v>564</v>
      </c>
    </row>
    <row r="57">
      <c r="A57" s="1" t="s">
        <v>565</v>
      </c>
    </row>
    <row r="58">
      <c r="A58" s="1" t="s">
        <v>566</v>
      </c>
    </row>
    <row r="59">
      <c r="A59" s="1" t="s">
        <v>567</v>
      </c>
    </row>
    <row r="60">
      <c r="A60" s="1" t="s">
        <v>568</v>
      </c>
    </row>
    <row r="61">
      <c r="A61" s="1" t="s">
        <v>569</v>
      </c>
    </row>
    <row r="62">
      <c r="A62" s="1" t="s">
        <v>570</v>
      </c>
    </row>
    <row r="63">
      <c r="A63" s="1"/>
    </row>
    <row r="64">
      <c r="A64" s="1" t="s">
        <v>571</v>
      </c>
    </row>
    <row r="65">
      <c r="A65" s="1" t="s">
        <v>572</v>
      </c>
    </row>
    <row r="66">
      <c r="A66" s="1" t="s">
        <v>573</v>
      </c>
    </row>
    <row r="67">
      <c r="A67" s="1" t="s">
        <v>574</v>
      </c>
    </row>
    <row r="68">
      <c r="A68" s="1" t="s">
        <v>575</v>
      </c>
    </row>
    <row r="69">
      <c r="A69" s="1" t="s">
        <v>576</v>
      </c>
    </row>
    <row r="70">
      <c r="A70" s="1" t="s">
        <v>577</v>
      </c>
    </row>
    <row r="71">
      <c r="A71" s="1" t="s">
        <v>578</v>
      </c>
    </row>
    <row r="72">
      <c r="A72" s="1" t="s">
        <v>579</v>
      </c>
    </row>
    <row r="73">
      <c r="A73" s="1" t="s">
        <v>580</v>
      </c>
    </row>
    <row r="74">
      <c r="A74" s="1" t="s">
        <v>581</v>
      </c>
    </row>
    <row r="75">
      <c r="A75" s="1" t="s">
        <v>582</v>
      </c>
    </row>
    <row r="76">
      <c r="A76" s="1" t="s">
        <v>583</v>
      </c>
    </row>
    <row r="77">
      <c r="A77" s="1" t="s">
        <v>584</v>
      </c>
    </row>
    <row r="78">
      <c r="A78" s="1" t="s">
        <v>585</v>
      </c>
    </row>
    <row r="79">
      <c r="A79" s="1" t="s">
        <v>586</v>
      </c>
    </row>
    <row r="80">
      <c r="A80" s="1" t="s">
        <v>587</v>
      </c>
    </row>
    <row r="81">
      <c r="A81" s="1" t="s">
        <v>588</v>
      </c>
    </row>
    <row r="82">
      <c r="A82" s="1" t="s">
        <v>589</v>
      </c>
    </row>
    <row r="83">
      <c r="A83" s="1" t="s">
        <v>590</v>
      </c>
    </row>
    <row r="84">
      <c r="A84" s="1" t="s">
        <v>591</v>
      </c>
    </row>
    <row r="85">
      <c r="A85" s="1" t="s">
        <v>592</v>
      </c>
    </row>
    <row r="86">
      <c r="A86" s="1" t="s">
        <v>593</v>
      </c>
    </row>
    <row r="87">
      <c r="A87" s="1" t="s">
        <v>594</v>
      </c>
    </row>
    <row r="88">
      <c r="A88" s="1" t="s">
        <v>595</v>
      </c>
    </row>
    <row r="89">
      <c r="A89" s="1" t="s">
        <v>596</v>
      </c>
      <c r="F89" s="1" t="s">
        <v>597</v>
      </c>
    </row>
    <row r="90">
      <c r="A90" s="1" t="s">
        <v>598</v>
      </c>
    </row>
    <row r="91">
      <c r="A91" s="1" t="s">
        <v>599</v>
      </c>
    </row>
    <row r="92">
      <c r="A92" s="1" t="s">
        <v>600</v>
      </c>
    </row>
    <row r="94">
      <c r="A94" s="1" t="s">
        <v>601</v>
      </c>
    </row>
    <row r="95">
      <c r="A95" s="1" t="s">
        <v>602</v>
      </c>
    </row>
    <row r="96">
      <c r="A96" s="1" t="s">
        <v>603</v>
      </c>
    </row>
    <row r="97">
      <c r="A97" s="1" t="s">
        <v>604</v>
      </c>
    </row>
    <row r="98">
      <c r="A98" s="1" t="s">
        <v>605</v>
      </c>
    </row>
    <row r="99">
      <c r="A99" s="1" t="s">
        <v>606</v>
      </c>
    </row>
    <row r="100">
      <c r="A100" s="1" t="s">
        <v>607</v>
      </c>
    </row>
    <row r="101">
      <c r="A101" s="1" t="s">
        <v>608</v>
      </c>
    </row>
    <row r="102">
      <c r="A102" s="1" t="s">
        <v>609</v>
      </c>
    </row>
    <row r="103">
      <c r="A103" s="1" t="s">
        <v>610</v>
      </c>
    </row>
    <row r="104">
      <c r="A104" s="1" t="s">
        <v>611</v>
      </c>
    </row>
    <row r="106">
      <c r="A106" s="1" t="s">
        <v>612</v>
      </c>
    </row>
    <row r="107">
      <c r="A107" s="1" t="s">
        <v>614</v>
      </c>
    </row>
    <row r="108">
      <c r="A108" s="1" t="s">
        <v>615</v>
      </c>
    </row>
    <row r="109">
      <c r="A109" s="1" t="s">
        <v>617</v>
      </c>
    </row>
    <row r="110">
      <c r="A110" s="1" t="s">
        <v>618</v>
      </c>
    </row>
    <row r="111">
      <c r="A111" s="1" t="s">
        <v>620</v>
      </c>
    </row>
    <row r="112">
      <c r="A112" s="1" t="s">
        <v>622</v>
      </c>
    </row>
    <row r="113">
      <c r="A113" s="1" t="s">
        <v>624</v>
      </c>
    </row>
    <row r="114">
      <c r="A114" s="1" t="s">
        <v>626</v>
      </c>
    </row>
    <row r="115">
      <c r="A115" s="1" t="s">
        <v>627</v>
      </c>
    </row>
    <row r="116">
      <c r="A116" s="1" t="s">
        <v>629</v>
      </c>
    </row>
    <row r="117">
      <c r="A117" s="1" t="s">
        <v>631</v>
      </c>
    </row>
    <row r="118">
      <c r="A118" s="1" t="s">
        <v>632</v>
      </c>
    </row>
    <row r="119">
      <c r="A119" s="1" t="s">
        <v>634</v>
      </c>
    </row>
    <row r="120">
      <c r="A120" s="1" t="s">
        <v>636</v>
      </c>
    </row>
    <row r="121">
      <c r="A121" s="1" t="s">
        <v>638</v>
      </c>
    </row>
    <row r="122">
      <c r="A122" s="1" t="s">
        <v>639</v>
      </c>
    </row>
    <row r="123">
      <c r="A123" s="1" t="s">
        <v>641</v>
      </c>
    </row>
    <row r="124">
      <c r="A124" s="1" t="s">
        <v>642</v>
      </c>
    </row>
    <row r="125">
      <c r="A125" s="1" t="s">
        <v>644</v>
      </c>
    </row>
    <row r="126">
      <c r="A126" s="1" t="s">
        <v>646</v>
      </c>
    </row>
    <row r="128">
      <c r="A128" s="1" t="s">
        <v>647</v>
      </c>
    </row>
    <row r="129">
      <c r="A129" s="1" t="s">
        <v>649</v>
      </c>
    </row>
    <row r="130">
      <c r="A130" s="1" t="s">
        <v>651</v>
      </c>
    </row>
    <row r="131">
      <c r="A131" s="1" t="s">
        <v>653</v>
      </c>
    </row>
    <row r="132">
      <c r="A132" s="1" t="s">
        <v>656</v>
      </c>
    </row>
    <row r="133">
      <c r="A133" s="1" t="s">
        <v>657</v>
      </c>
    </row>
    <row r="134">
      <c r="A134" s="1" t="s">
        <v>659</v>
      </c>
    </row>
    <row r="135">
      <c r="A135" s="1" t="s">
        <v>661</v>
      </c>
    </row>
    <row r="136">
      <c r="A136" s="1" t="s">
        <v>662</v>
      </c>
    </row>
    <row r="137">
      <c r="A137" s="1" t="s">
        <v>665</v>
      </c>
    </row>
    <row r="138">
      <c r="A138" s="1" t="s">
        <v>668</v>
      </c>
    </row>
    <row r="139">
      <c r="A139" s="1" t="s">
        <v>671</v>
      </c>
    </row>
    <row r="140">
      <c r="A140" s="1" t="s">
        <v>672</v>
      </c>
    </row>
    <row r="141">
      <c r="A141" s="1" t="s">
        <v>674</v>
      </c>
    </row>
    <row r="142">
      <c r="A142" s="1" t="s">
        <v>675</v>
      </c>
    </row>
    <row r="143">
      <c r="A143" s="1" t="s">
        <v>677</v>
      </c>
    </row>
    <row r="144">
      <c r="A144" s="1" t="s">
        <v>678</v>
      </c>
    </row>
    <row r="145">
      <c r="A145" s="1" t="s">
        <v>681</v>
      </c>
    </row>
    <row r="146">
      <c r="A146" s="1" t="s">
        <v>682</v>
      </c>
    </row>
    <row r="147">
      <c r="A147" s="1" t="s">
        <v>684</v>
      </c>
    </row>
    <row r="148">
      <c r="A148" s="1" t="s">
        <v>686</v>
      </c>
    </row>
    <row r="149">
      <c r="A149" s="1" t="s">
        <v>687</v>
      </c>
    </row>
    <row r="150">
      <c r="A150" s="1" t="s">
        <v>688</v>
      </c>
    </row>
    <row r="151">
      <c r="A151" s="1" t="s">
        <v>690</v>
      </c>
    </row>
    <row r="152">
      <c r="A152" s="1" t="s">
        <v>691</v>
      </c>
    </row>
    <row r="153">
      <c r="A153" s="1" t="s">
        <v>692</v>
      </c>
    </row>
    <row r="154">
      <c r="A154" s="1" t="s">
        <v>693</v>
      </c>
    </row>
    <row r="155">
      <c r="A155" s="1" t="s">
        <v>694</v>
      </c>
    </row>
    <row r="156">
      <c r="A156" s="1" t="s">
        <v>695</v>
      </c>
    </row>
    <row r="157">
      <c r="A157" s="1" t="s">
        <v>696</v>
      </c>
    </row>
    <row r="159">
      <c r="A159" s="1" t="s">
        <v>698</v>
      </c>
    </row>
    <row r="160">
      <c r="A160" s="1" t="s">
        <v>699</v>
      </c>
    </row>
    <row r="161">
      <c r="A161" s="1" t="s">
        <v>700</v>
      </c>
    </row>
    <row r="162">
      <c r="A162" s="1" t="s">
        <v>702</v>
      </c>
    </row>
    <row r="163">
      <c r="A163" s="1" t="s">
        <v>703</v>
      </c>
    </row>
    <row r="164">
      <c r="A164" s="1" t="s">
        <v>705</v>
      </c>
    </row>
    <row r="165">
      <c r="A165" s="1" t="s">
        <v>706</v>
      </c>
    </row>
    <row r="166">
      <c r="A166" s="1" t="s">
        <v>707</v>
      </c>
    </row>
    <row r="167">
      <c r="A167" s="1" t="s">
        <v>708</v>
      </c>
    </row>
    <row r="168">
      <c r="A168" s="1" t="s">
        <v>709</v>
      </c>
    </row>
    <row r="169">
      <c r="A169" s="1" t="s">
        <v>710</v>
      </c>
    </row>
    <row r="170">
      <c r="A170" s="1" t="s">
        <v>711</v>
      </c>
    </row>
    <row r="171">
      <c r="A171" s="1" t="s">
        <v>712</v>
      </c>
    </row>
    <row r="172">
      <c r="A172" s="1" t="s">
        <v>713</v>
      </c>
    </row>
    <row r="173">
      <c r="A173" s="1" t="s">
        <v>714</v>
      </c>
    </row>
    <row r="174">
      <c r="A174" s="1" t="s">
        <v>716</v>
      </c>
    </row>
    <row r="175">
      <c r="A175" s="1" t="s">
        <v>717</v>
      </c>
    </row>
    <row r="176">
      <c r="A176" s="1" t="s">
        <v>718</v>
      </c>
    </row>
    <row r="177">
      <c r="A177" s="1" t="s">
        <v>719</v>
      </c>
    </row>
    <row r="178">
      <c r="A178" s="1" t="s">
        <v>720</v>
      </c>
    </row>
    <row r="179">
      <c r="A179" s="1" t="s">
        <v>721</v>
      </c>
    </row>
    <row r="180">
      <c r="A180" s="1" t="s">
        <v>723</v>
      </c>
    </row>
    <row r="181">
      <c r="A181" s="1" t="s">
        <v>725</v>
      </c>
    </row>
    <row r="182">
      <c r="A182" s="1" t="s">
        <v>726</v>
      </c>
    </row>
    <row r="183">
      <c r="A183" s="1" t="s">
        <v>727</v>
      </c>
    </row>
    <row r="184">
      <c r="A184" s="1" t="s">
        <v>728</v>
      </c>
    </row>
    <row r="185">
      <c r="A185" s="1" t="s">
        <v>729</v>
      </c>
    </row>
    <row r="186">
      <c r="A186" s="1" t="s">
        <v>730</v>
      </c>
    </row>
    <row r="187">
      <c r="A187" s="1" t="s">
        <v>731</v>
      </c>
    </row>
    <row r="188">
      <c r="A188" s="1" t="s">
        <v>733</v>
      </c>
    </row>
    <row r="189">
      <c r="A189" s="1" t="s">
        <v>734</v>
      </c>
    </row>
    <row r="190">
      <c r="A190" s="1" t="s">
        <v>735</v>
      </c>
    </row>
    <row r="191">
      <c r="A191" s="1" t="s">
        <v>736</v>
      </c>
    </row>
    <row r="192">
      <c r="A192" s="1" t="s">
        <v>737</v>
      </c>
    </row>
    <row r="193">
      <c r="A193" s="1" t="s">
        <v>738</v>
      </c>
    </row>
    <row r="194">
      <c r="A194" s="1" t="s">
        <v>741</v>
      </c>
    </row>
    <row r="195">
      <c r="A195" s="1" t="s">
        <v>742</v>
      </c>
    </row>
    <row r="197">
      <c r="A197" s="1" t="s">
        <v>743</v>
      </c>
    </row>
    <row r="198">
      <c r="A198" s="1" t="s">
        <v>744</v>
      </c>
    </row>
    <row r="199">
      <c r="A199" s="1" t="s">
        <v>746</v>
      </c>
    </row>
    <row r="200">
      <c r="A200" s="1" t="s">
        <v>748</v>
      </c>
    </row>
    <row r="201">
      <c r="A201" s="1" t="s">
        <v>750</v>
      </c>
    </row>
    <row r="202">
      <c r="A202" s="1" t="s">
        <v>751</v>
      </c>
    </row>
    <row r="203">
      <c r="A203" s="1" t="s">
        <v>753</v>
      </c>
    </row>
    <row r="204">
      <c r="A204" s="1" t="s">
        <v>755</v>
      </c>
    </row>
    <row r="205">
      <c r="A205" s="1" t="s">
        <v>756</v>
      </c>
    </row>
    <row r="206">
      <c r="A206" s="1" t="s">
        <v>757</v>
      </c>
    </row>
    <row r="207">
      <c r="A207" s="1" t="s">
        <v>759</v>
      </c>
    </row>
    <row r="208">
      <c r="A208" s="1" t="s">
        <v>760</v>
      </c>
    </row>
    <row r="209">
      <c r="A209" s="1" t="s">
        <v>761</v>
      </c>
    </row>
    <row r="210">
      <c r="A210" s="1" t="s">
        <v>762</v>
      </c>
    </row>
    <row r="211">
      <c r="A211" s="1" t="s">
        <v>764</v>
      </c>
    </row>
    <row r="212">
      <c r="A212" s="1" t="s">
        <v>765</v>
      </c>
    </row>
    <row r="213">
      <c r="A213" s="1" t="s">
        <v>767</v>
      </c>
    </row>
    <row r="214">
      <c r="A214" s="1" t="s">
        <v>769</v>
      </c>
    </row>
    <row r="215">
      <c r="A215" s="1" t="s">
        <v>771</v>
      </c>
    </row>
    <row r="216">
      <c r="A216" s="1" t="s">
        <v>772</v>
      </c>
    </row>
    <row r="217">
      <c r="A217" s="1" t="s">
        <v>773</v>
      </c>
    </row>
    <row r="218">
      <c r="A218" s="1" t="s">
        <v>774</v>
      </c>
    </row>
    <row r="219">
      <c r="A219" s="1" t="s">
        <v>775</v>
      </c>
    </row>
    <row r="220">
      <c r="A220" s="1" t="s">
        <v>776</v>
      </c>
    </row>
    <row r="221">
      <c r="A221" s="1" t="s">
        <v>777</v>
      </c>
    </row>
    <row r="222">
      <c r="A222" s="1" t="s">
        <v>778</v>
      </c>
    </row>
    <row r="223">
      <c r="A223" s="1" t="s">
        <v>779</v>
      </c>
    </row>
    <row r="224">
      <c r="A224" s="1" t="s">
        <v>780</v>
      </c>
    </row>
    <row r="225">
      <c r="A225" s="1" t="s">
        <v>781</v>
      </c>
    </row>
    <row r="226">
      <c r="A226" s="1" t="s">
        <v>782</v>
      </c>
    </row>
    <row r="227">
      <c r="A227" s="1" t="s">
        <v>783</v>
      </c>
    </row>
    <row r="228">
      <c r="A228" s="1" t="s">
        <v>784</v>
      </c>
    </row>
    <row r="229">
      <c r="A229" s="1" t="s">
        <v>785</v>
      </c>
    </row>
    <row r="230">
      <c r="A230" s="1" t="s">
        <v>786</v>
      </c>
    </row>
    <row r="231">
      <c r="A231" s="1" t="s">
        <v>787</v>
      </c>
    </row>
    <row r="232">
      <c r="A232" s="1" t="s">
        <v>788</v>
      </c>
    </row>
    <row r="233">
      <c r="A233" s="1" t="s">
        <v>789</v>
      </c>
    </row>
    <row r="234">
      <c r="A234" s="1" t="s">
        <v>792</v>
      </c>
    </row>
    <row r="235">
      <c r="A235" s="1" t="s">
        <v>793</v>
      </c>
    </row>
    <row r="236">
      <c r="A236" s="1" t="s">
        <v>795</v>
      </c>
    </row>
    <row r="237">
      <c r="A237" s="1" t="s">
        <v>796</v>
      </c>
    </row>
    <row r="238">
      <c r="A238" s="1" t="s">
        <v>800</v>
      </c>
    </row>
    <row r="239">
      <c r="A239" s="1" t="s">
        <v>802</v>
      </c>
    </row>
    <row r="240">
      <c r="A240" s="1" t="s">
        <v>804</v>
      </c>
    </row>
    <row r="241">
      <c r="A241" s="1" t="s">
        <v>807</v>
      </c>
    </row>
    <row r="242">
      <c r="A242" s="1" t="s">
        <v>811</v>
      </c>
    </row>
    <row r="243">
      <c r="A243" s="1" t="s">
        <v>814</v>
      </c>
    </row>
    <row r="244">
      <c r="A244" s="1" t="s">
        <v>820</v>
      </c>
    </row>
    <row r="245">
      <c r="A245" s="1" t="s">
        <v>822</v>
      </c>
    </row>
    <row r="246">
      <c r="A246" s="1" t="s">
        <v>827</v>
      </c>
    </row>
    <row r="247">
      <c r="A247" s="1" t="s">
        <v>829</v>
      </c>
    </row>
    <row r="249">
      <c r="A249" s="1" t="s">
        <v>831</v>
      </c>
    </row>
    <row r="250">
      <c r="A250" s="1" t="s">
        <v>835</v>
      </c>
    </row>
    <row r="251">
      <c r="A251" s="1" t="s">
        <v>837</v>
      </c>
    </row>
    <row r="252">
      <c r="A252" s="1" t="s">
        <v>838</v>
      </c>
    </row>
    <row r="253">
      <c r="A253" s="1" t="s">
        <v>839</v>
      </c>
    </row>
    <row r="254">
      <c r="A254" s="1" t="s">
        <v>841</v>
      </c>
    </row>
    <row r="255">
      <c r="A255" s="1" t="s">
        <v>842</v>
      </c>
    </row>
    <row r="256">
      <c r="A256" s="1" t="s">
        <v>843</v>
      </c>
    </row>
    <row r="257">
      <c r="A257" s="1" t="s">
        <v>845</v>
      </c>
    </row>
    <row r="258">
      <c r="A258" s="1" t="s">
        <v>846</v>
      </c>
    </row>
    <row r="259">
      <c r="A259" s="1" t="s">
        <v>848</v>
      </c>
    </row>
    <row r="260">
      <c r="A260" s="1" t="s">
        <v>849</v>
      </c>
    </row>
    <row r="261">
      <c r="A261" s="1" t="s">
        <v>850</v>
      </c>
    </row>
    <row r="262">
      <c r="A262" s="1" t="s">
        <v>851</v>
      </c>
    </row>
    <row r="264">
      <c r="A264" s="1" t="s">
        <v>853</v>
      </c>
    </row>
    <row r="266">
      <c r="A266" s="1" t="s">
        <v>854</v>
      </c>
    </row>
    <row r="267">
      <c r="A267" s="1" t="s">
        <v>855</v>
      </c>
    </row>
    <row r="268">
      <c r="A268" s="1" t="s">
        <v>856</v>
      </c>
    </row>
    <row r="269">
      <c r="A269" s="1" t="s">
        <v>859</v>
      </c>
    </row>
    <row r="270">
      <c r="A270" s="1" t="s">
        <v>860</v>
      </c>
    </row>
    <row r="271">
      <c r="A271" s="1" t="s">
        <v>861</v>
      </c>
    </row>
    <row r="272">
      <c r="A272" s="1" t="s">
        <v>862</v>
      </c>
    </row>
    <row r="273">
      <c r="A273" s="1" t="s">
        <v>863</v>
      </c>
    </row>
    <row r="274">
      <c r="A274" s="1" t="s">
        <v>864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497</v>
      </c>
      <c r="B1" s="1" t="s">
        <v>499</v>
      </c>
      <c r="E1" s="1" t="s">
        <v>501</v>
      </c>
      <c r="G1" s="1" t="s">
        <v>503</v>
      </c>
      <c r="I1" s="1" t="s">
        <v>506</v>
      </c>
    </row>
    <row r="2">
      <c r="A2" s="1">
        <v>-29.0</v>
      </c>
      <c r="B2" s="1">
        <v>-21.0</v>
      </c>
      <c r="E2" s="1" t="s">
        <v>510</v>
      </c>
      <c r="F2" s="1" t="s">
        <v>512</v>
      </c>
      <c r="I2" s="1" t="s">
        <v>513</v>
      </c>
      <c r="J2" s="1">
        <v>5.0</v>
      </c>
    </row>
    <row r="3">
      <c r="E3" s="1" t="s">
        <v>515</v>
      </c>
      <c r="F3" s="1" t="s">
        <v>517</v>
      </c>
      <c r="I3" s="1" t="s">
        <v>518</v>
      </c>
      <c r="J3" s="1">
        <v>15.0</v>
      </c>
      <c r="L3" s="27">
        <v>44930.0</v>
      </c>
    </row>
    <row r="4">
      <c r="E4" s="1" t="s">
        <v>522</v>
      </c>
      <c r="F4" s="1" t="s">
        <v>517</v>
      </c>
      <c r="I4" s="1" t="s">
        <v>525</v>
      </c>
      <c r="J4" s="1">
        <v>50.0</v>
      </c>
    </row>
    <row r="5">
      <c r="E5" s="1" t="s">
        <v>527</v>
      </c>
      <c r="F5" s="1" t="s">
        <v>529</v>
      </c>
      <c r="I5" s="1" t="s">
        <v>530</v>
      </c>
      <c r="J5" s="1">
        <v>200.0</v>
      </c>
    </row>
    <row r="6">
      <c r="E6" s="1" t="s">
        <v>532</v>
      </c>
      <c r="F6" s="1" t="s">
        <v>517</v>
      </c>
    </row>
    <row r="7">
      <c r="E7" s="1" t="s">
        <v>534</v>
      </c>
      <c r="F7" s="1" t="s">
        <v>536</v>
      </c>
      <c r="H7" s="1" t="s">
        <v>537</v>
      </c>
    </row>
    <row r="8">
      <c r="F8" s="1" t="s">
        <v>538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9" max="9" width="22.38"/>
  </cols>
  <sheetData>
    <row r="2">
      <c r="A2" s="1" t="s">
        <v>613</v>
      </c>
      <c r="B2" s="1" t="s">
        <v>616</v>
      </c>
      <c r="C2" s="1" t="s">
        <v>619</v>
      </c>
      <c r="D2" s="1" t="s">
        <v>621</v>
      </c>
      <c r="E2" s="1" t="s">
        <v>623</v>
      </c>
      <c r="I2" s="1" t="s">
        <v>625</v>
      </c>
    </row>
    <row r="3">
      <c r="A3" s="1" t="s">
        <v>628</v>
      </c>
      <c r="B3" s="1">
        <v>6.0</v>
      </c>
      <c r="C3" s="1">
        <v>25.0</v>
      </c>
      <c r="D3" s="13">
        <f t="shared" ref="D3:D62" si="1">B3*C3</f>
        <v>150</v>
      </c>
      <c r="E3" s="13">
        <f t="shared" ref="E3:E69" si="2">D3/5</f>
        <v>30</v>
      </c>
      <c r="I3" s="1" t="s">
        <v>652</v>
      </c>
      <c r="J3" s="1" t="s">
        <v>654</v>
      </c>
    </row>
    <row r="4">
      <c r="A4" s="1" t="s">
        <v>628</v>
      </c>
      <c r="B4" s="1">
        <v>8.0</v>
      </c>
      <c r="C4" s="1">
        <v>25.0</v>
      </c>
      <c r="D4" s="13">
        <f t="shared" si="1"/>
        <v>200</v>
      </c>
      <c r="E4" s="13">
        <f t="shared" si="2"/>
        <v>40</v>
      </c>
      <c r="I4" s="1" t="s">
        <v>664</v>
      </c>
      <c r="J4" s="1" t="s">
        <v>666</v>
      </c>
    </row>
    <row r="5">
      <c r="A5" s="1" t="s">
        <v>669</v>
      </c>
      <c r="B5" s="1">
        <v>5.0</v>
      </c>
      <c r="C5" s="1">
        <v>50.0</v>
      </c>
      <c r="D5" s="13">
        <f t="shared" si="1"/>
        <v>250</v>
      </c>
      <c r="E5" s="13">
        <f t="shared" si="2"/>
        <v>50</v>
      </c>
      <c r="I5" s="1" t="s">
        <v>679</v>
      </c>
      <c r="J5" s="1">
        <v>500.0</v>
      </c>
    </row>
    <row r="6">
      <c r="A6" s="1" t="s">
        <v>628</v>
      </c>
      <c r="B6" s="1">
        <v>4.0</v>
      </c>
      <c r="C6" s="1">
        <v>25.0</v>
      </c>
      <c r="D6" s="13">
        <f t="shared" si="1"/>
        <v>100</v>
      </c>
      <c r="E6" s="13">
        <f t="shared" si="2"/>
        <v>20</v>
      </c>
      <c r="I6" s="1" t="s">
        <v>689</v>
      </c>
      <c r="J6" s="28">
        <v>500.0</v>
      </c>
    </row>
    <row r="7">
      <c r="A7" s="1" t="s">
        <v>697</v>
      </c>
      <c r="B7" s="1">
        <v>1.0</v>
      </c>
      <c r="C7" s="1">
        <v>50.0</v>
      </c>
      <c r="D7" s="13">
        <f t="shared" si="1"/>
        <v>50</v>
      </c>
      <c r="E7" s="13">
        <f t="shared" si="2"/>
        <v>10</v>
      </c>
      <c r="I7" s="1" t="s">
        <v>701</v>
      </c>
      <c r="J7" s="28">
        <v>1500.0</v>
      </c>
    </row>
    <row r="8">
      <c r="A8" s="1" t="s">
        <v>704</v>
      </c>
      <c r="B8" s="1">
        <v>15.0</v>
      </c>
      <c r="C8" s="1">
        <v>50.0</v>
      </c>
      <c r="D8" s="13">
        <f t="shared" si="1"/>
        <v>750</v>
      </c>
      <c r="E8" s="13">
        <f t="shared" si="2"/>
        <v>150</v>
      </c>
      <c r="F8" s="1" t="s">
        <v>621</v>
      </c>
      <c r="G8" s="13">
        <f>sum(E3:E8)</f>
        <v>300</v>
      </c>
      <c r="I8" s="1" t="s">
        <v>715</v>
      </c>
      <c r="J8" s="28">
        <v>1500.0</v>
      </c>
    </row>
    <row r="9">
      <c r="A9" s="1" t="s">
        <v>628</v>
      </c>
      <c r="B9" s="1">
        <v>3.0</v>
      </c>
      <c r="C9" s="1">
        <v>25.0</v>
      </c>
      <c r="D9" s="13">
        <f t="shared" si="1"/>
        <v>75</v>
      </c>
      <c r="E9" s="13">
        <f t="shared" si="2"/>
        <v>15</v>
      </c>
      <c r="I9" s="1" t="s">
        <v>722</v>
      </c>
      <c r="J9" s="28">
        <v>500.0</v>
      </c>
    </row>
    <row r="10">
      <c r="A10" s="1" t="s">
        <v>724</v>
      </c>
      <c r="B10" s="1">
        <v>3.0</v>
      </c>
      <c r="C10" s="1">
        <v>50.0</v>
      </c>
      <c r="D10" s="13">
        <f t="shared" si="1"/>
        <v>150</v>
      </c>
      <c r="E10" s="13">
        <f t="shared" si="2"/>
        <v>30</v>
      </c>
    </row>
    <row r="11">
      <c r="A11" s="1" t="s">
        <v>740</v>
      </c>
      <c r="B11" s="1">
        <v>1.0</v>
      </c>
      <c r="C11" s="1">
        <v>100.0</v>
      </c>
      <c r="D11" s="13">
        <f t="shared" si="1"/>
        <v>100</v>
      </c>
      <c r="E11" s="13">
        <f t="shared" si="2"/>
        <v>20</v>
      </c>
    </row>
    <row r="12">
      <c r="A12" s="1" t="s">
        <v>747</v>
      </c>
      <c r="B12" s="1">
        <v>5.0</v>
      </c>
      <c r="C12" s="1">
        <v>25.0</v>
      </c>
      <c r="D12" s="13">
        <f t="shared" si="1"/>
        <v>125</v>
      </c>
      <c r="E12" s="13">
        <f t="shared" si="2"/>
        <v>25</v>
      </c>
    </row>
    <row r="13">
      <c r="A13" s="1" t="s">
        <v>752</v>
      </c>
      <c r="B13" s="1">
        <v>2.0</v>
      </c>
      <c r="C13" s="1">
        <v>25.0</v>
      </c>
      <c r="D13" s="13">
        <f t="shared" si="1"/>
        <v>50</v>
      </c>
      <c r="E13" s="13">
        <f t="shared" si="2"/>
        <v>10</v>
      </c>
    </row>
    <row r="14">
      <c r="A14" s="1" t="s">
        <v>758</v>
      </c>
      <c r="B14" s="1">
        <v>3.0</v>
      </c>
      <c r="C14" s="1">
        <v>25.0</v>
      </c>
      <c r="D14" s="13">
        <f t="shared" si="1"/>
        <v>75</v>
      </c>
      <c r="E14" s="13">
        <f t="shared" si="2"/>
        <v>15</v>
      </c>
    </row>
    <row r="15">
      <c r="A15" s="1" t="s">
        <v>763</v>
      </c>
      <c r="B15" s="1">
        <v>2.0</v>
      </c>
      <c r="C15" s="1">
        <v>50.0</v>
      </c>
      <c r="D15" s="13">
        <f t="shared" si="1"/>
        <v>100</v>
      </c>
      <c r="E15" s="13">
        <f t="shared" si="2"/>
        <v>20</v>
      </c>
    </row>
    <row r="16">
      <c r="A16" s="1" t="s">
        <v>768</v>
      </c>
      <c r="B16" s="1">
        <v>10.0</v>
      </c>
      <c r="C16" s="1">
        <v>50.0</v>
      </c>
      <c r="D16" s="13">
        <f t="shared" si="1"/>
        <v>500</v>
      </c>
      <c r="E16" s="13">
        <f t="shared" si="2"/>
        <v>100</v>
      </c>
    </row>
    <row r="17">
      <c r="A17" s="1" t="s">
        <v>770</v>
      </c>
      <c r="B17" s="1">
        <v>1.0</v>
      </c>
      <c r="C17" s="1">
        <v>250.0</v>
      </c>
      <c r="D17" s="13">
        <f t="shared" si="1"/>
        <v>250</v>
      </c>
      <c r="E17" s="13">
        <f t="shared" si="2"/>
        <v>50</v>
      </c>
    </row>
    <row r="18">
      <c r="A18" s="1" t="s">
        <v>752</v>
      </c>
      <c r="B18" s="1">
        <v>8.0</v>
      </c>
      <c r="C18" s="1">
        <v>25.0</v>
      </c>
      <c r="D18" s="13">
        <f t="shared" si="1"/>
        <v>200</v>
      </c>
      <c r="E18" s="13">
        <f t="shared" si="2"/>
        <v>40</v>
      </c>
    </row>
    <row r="19">
      <c r="A19" s="1" t="s">
        <v>758</v>
      </c>
      <c r="B19" s="1">
        <v>5.0</v>
      </c>
      <c r="C19" s="1">
        <v>25.0</v>
      </c>
      <c r="D19" s="13">
        <f t="shared" si="1"/>
        <v>125</v>
      </c>
      <c r="E19" s="13">
        <f t="shared" si="2"/>
        <v>25</v>
      </c>
    </row>
    <row r="20">
      <c r="A20" s="1" t="s">
        <v>669</v>
      </c>
      <c r="B20" s="1">
        <v>1.0</v>
      </c>
      <c r="C20" s="1">
        <v>50.0</v>
      </c>
      <c r="D20" s="13">
        <f t="shared" si="1"/>
        <v>50</v>
      </c>
      <c r="E20" s="13">
        <f t="shared" si="2"/>
        <v>10</v>
      </c>
      <c r="F20" s="1" t="s">
        <v>621</v>
      </c>
      <c r="G20" s="13">
        <f>SUM(E3:E20)</f>
        <v>660</v>
      </c>
    </row>
    <row r="21">
      <c r="A21" s="1" t="s">
        <v>790</v>
      </c>
      <c r="B21" s="1">
        <v>1.0</v>
      </c>
      <c r="C21" s="1">
        <v>250.0</v>
      </c>
      <c r="D21" s="13">
        <f t="shared" si="1"/>
        <v>250</v>
      </c>
      <c r="E21" s="13">
        <f t="shared" si="2"/>
        <v>50</v>
      </c>
    </row>
    <row r="22">
      <c r="A22" s="1" t="s">
        <v>794</v>
      </c>
      <c r="B22" s="1">
        <v>1.0</v>
      </c>
      <c r="C22" s="1">
        <v>250.0</v>
      </c>
      <c r="D22" s="13">
        <f t="shared" si="1"/>
        <v>250</v>
      </c>
      <c r="E22" s="13">
        <f t="shared" si="2"/>
        <v>50</v>
      </c>
    </row>
    <row r="23">
      <c r="A23" s="1" t="s">
        <v>628</v>
      </c>
      <c r="B23" s="1">
        <v>2.0</v>
      </c>
      <c r="C23" s="1">
        <v>25.0</v>
      </c>
      <c r="D23" s="13">
        <f t="shared" si="1"/>
        <v>50</v>
      </c>
      <c r="E23" s="13">
        <f t="shared" si="2"/>
        <v>10</v>
      </c>
    </row>
    <row r="24">
      <c r="A24" s="1" t="s">
        <v>758</v>
      </c>
      <c r="B24" s="1">
        <v>4.0</v>
      </c>
      <c r="C24" s="1">
        <v>25.0</v>
      </c>
      <c r="D24" s="13">
        <f t="shared" si="1"/>
        <v>100</v>
      </c>
      <c r="E24" s="13">
        <f t="shared" si="2"/>
        <v>20</v>
      </c>
      <c r="F24" s="1" t="s">
        <v>621</v>
      </c>
      <c r="G24" s="1">
        <v>790.0</v>
      </c>
    </row>
    <row r="25">
      <c r="A25" s="1" t="s">
        <v>758</v>
      </c>
      <c r="B25" s="1">
        <v>6.0</v>
      </c>
      <c r="C25" s="1">
        <v>25.0</v>
      </c>
      <c r="D25" s="13">
        <f t="shared" si="1"/>
        <v>150</v>
      </c>
      <c r="E25" s="13">
        <f t="shared" si="2"/>
        <v>30</v>
      </c>
    </row>
    <row r="26">
      <c r="A26" s="1" t="s">
        <v>724</v>
      </c>
      <c r="B26" s="1">
        <v>2.0</v>
      </c>
      <c r="C26" s="1">
        <v>50.0</v>
      </c>
      <c r="D26" s="13">
        <f t="shared" si="1"/>
        <v>100</v>
      </c>
      <c r="E26" s="13">
        <f t="shared" si="2"/>
        <v>20</v>
      </c>
    </row>
    <row r="27">
      <c r="A27" s="1" t="s">
        <v>825</v>
      </c>
      <c r="B27" s="1">
        <v>1.0</v>
      </c>
      <c r="C27" s="1">
        <v>700.0</v>
      </c>
      <c r="D27" s="13">
        <f t="shared" si="1"/>
        <v>700</v>
      </c>
      <c r="E27" s="13">
        <f t="shared" si="2"/>
        <v>140</v>
      </c>
    </row>
    <row r="28">
      <c r="A28" s="1" t="s">
        <v>833</v>
      </c>
      <c r="B28" s="1">
        <v>5.0</v>
      </c>
      <c r="C28" s="1">
        <v>125.0</v>
      </c>
      <c r="D28" s="13">
        <f t="shared" si="1"/>
        <v>625</v>
      </c>
      <c r="E28" s="13">
        <f t="shared" si="2"/>
        <v>125</v>
      </c>
    </row>
    <row r="29">
      <c r="A29" s="1" t="s">
        <v>840</v>
      </c>
      <c r="B29" s="1">
        <v>5.0</v>
      </c>
      <c r="C29" s="1">
        <v>250.0</v>
      </c>
      <c r="D29" s="13">
        <f t="shared" si="1"/>
        <v>1250</v>
      </c>
      <c r="E29" s="13">
        <f t="shared" si="2"/>
        <v>250</v>
      </c>
    </row>
    <row r="30">
      <c r="A30" s="1" t="s">
        <v>844</v>
      </c>
      <c r="B30" s="1">
        <v>8.0</v>
      </c>
      <c r="C30" s="1">
        <v>25.0</v>
      </c>
      <c r="D30" s="13">
        <f t="shared" si="1"/>
        <v>200</v>
      </c>
      <c r="E30" s="13">
        <f t="shared" si="2"/>
        <v>40</v>
      </c>
      <c r="F30" s="1" t="s">
        <v>621</v>
      </c>
      <c r="G30" s="13">
        <f>sum(E3:E30)</f>
        <v>1395</v>
      </c>
    </row>
    <row r="31">
      <c r="A31" s="1" t="s">
        <v>752</v>
      </c>
      <c r="B31" s="1">
        <v>2.0</v>
      </c>
      <c r="C31" s="1">
        <v>200.0</v>
      </c>
      <c r="D31" s="13">
        <f t="shared" si="1"/>
        <v>400</v>
      </c>
      <c r="E31" s="13">
        <f t="shared" si="2"/>
        <v>80</v>
      </c>
    </row>
    <row r="32">
      <c r="A32" s="1" t="s">
        <v>857</v>
      </c>
      <c r="B32" s="1">
        <v>10.0</v>
      </c>
      <c r="C32" s="1">
        <v>25.0</v>
      </c>
      <c r="D32" s="13">
        <f t="shared" si="1"/>
        <v>250</v>
      </c>
      <c r="E32" s="13">
        <f t="shared" si="2"/>
        <v>50</v>
      </c>
    </row>
    <row r="33">
      <c r="A33" s="1" t="s">
        <v>628</v>
      </c>
      <c r="B33" s="1">
        <v>4.0</v>
      </c>
      <c r="C33" s="1">
        <v>25.0</v>
      </c>
      <c r="D33" s="13">
        <f t="shared" si="1"/>
        <v>100</v>
      </c>
      <c r="E33" s="13">
        <f t="shared" si="2"/>
        <v>20</v>
      </c>
    </row>
    <row r="34">
      <c r="A34" s="1" t="s">
        <v>865</v>
      </c>
      <c r="B34" s="1">
        <v>1.0</v>
      </c>
      <c r="C34" s="1">
        <v>50.0</v>
      </c>
      <c r="D34" s="13">
        <f t="shared" si="1"/>
        <v>50</v>
      </c>
      <c r="E34" s="13">
        <f t="shared" si="2"/>
        <v>10</v>
      </c>
      <c r="F34" s="1" t="s">
        <v>621</v>
      </c>
      <c r="G34" s="13">
        <f>sum(E3:E34)</f>
        <v>1555</v>
      </c>
    </row>
    <row r="35">
      <c r="A35" s="1" t="s">
        <v>628</v>
      </c>
      <c r="B35" s="1">
        <v>6.0</v>
      </c>
      <c r="C35" s="1">
        <v>25.0</v>
      </c>
      <c r="D35" s="13">
        <f t="shared" si="1"/>
        <v>150</v>
      </c>
      <c r="E35" s="13">
        <f t="shared" si="2"/>
        <v>30</v>
      </c>
    </row>
    <row r="36">
      <c r="A36" s="1" t="s">
        <v>865</v>
      </c>
      <c r="B36" s="1">
        <v>6.0</v>
      </c>
      <c r="C36" s="1">
        <v>50.0</v>
      </c>
      <c r="D36" s="13">
        <f t="shared" si="1"/>
        <v>300</v>
      </c>
      <c r="E36" s="13">
        <f t="shared" si="2"/>
        <v>60</v>
      </c>
    </row>
    <row r="37">
      <c r="A37" s="1" t="s">
        <v>866</v>
      </c>
      <c r="B37" s="1">
        <v>1.0</v>
      </c>
      <c r="C37" s="1">
        <v>1100.0</v>
      </c>
      <c r="D37" s="13">
        <f t="shared" si="1"/>
        <v>1100</v>
      </c>
      <c r="E37" s="13">
        <f t="shared" si="2"/>
        <v>220</v>
      </c>
    </row>
    <row r="38">
      <c r="A38" s="1" t="s">
        <v>867</v>
      </c>
      <c r="B38" s="1">
        <v>2.0</v>
      </c>
      <c r="C38" s="1">
        <v>450.0</v>
      </c>
      <c r="D38" s="13">
        <f t="shared" si="1"/>
        <v>900</v>
      </c>
      <c r="E38" s="13">
        <f t="shared" si="2"/>
        <v>180</v>
      </c>
    </row>
    <row r="39">
      <c r="A39" s="1" t="s">
        <v>868</v>
      </c>
      <c r="B39" s="1">
        <v>2.0</v>
      </c>
      <c r="C39" s="1">
        <v>100.0</v>
      </c>
      <c r="D39" s="13">
        <f t="shared" si="1"/>
        <v>200</v>
      </c>
      <c r="E39" s="13">
        <f t="shared" si="2"/>
        <v>40</v>
      </c>
    </row>
    <row r="40">
      <c r="A40" s="1" t="s">
        <v>869</v>
      </c>
      <c r="B40" s="1">
        <v>1.0</v>
      </c>
      <c r="C40" s="1">
        <v>1800.0</v>
      </c>
      <c r="D40" s="13">
        <f t="shared" si="1"/>
        <v>1800</v>
      </c>
      <c r="E40" s="13">
        <f t="shared" si="2"/>
        <v>360</v>
      </c>
    </row>
    <row r="41">
      <c r="A41" s="1" t="s">
        <v>870</v>
      </c>
      <c r="B41" s="1">
        <v>2.0</v>
      </c>
      <c r="C41" s="1">
        <v>450.0</v>
      </c>
      <c r="D41" s="13">
        <f t="shared" si="1"/>
        <v>900</v>
      </c>
      <c r="E41" s="13">
        <f t="shared" si="2"/>
        <v>180</v>
      </c>
      <c r="F41" s="1" t="s">
        <v>621</v>
      </c>
      <c r="G41" s="13">
        <f>sum(E3:E41)</f>
        <v>2625</v>
      </c>
    </row>
    <row r="42">
      <c r="A42" s="1" t="s">
        <v>752</v>
      </c>
      <c r="B42" s="1">
        <v>3.0</v>
      </c>
      <c r="C42" s="1">
        <v>25.0</v>
      </c>
      <c r="D42" s="13">
        <f t="shared" si="1"/>
        <v>75</v>
      </c>
      <c r="E42" s="13">
        <f t="shared" si="2"/>
        <v>15</v>
      </c>
    </row>
    <row r="43">
      <c r="A43" s="1" t="s">
        <v>872</v>
      </c>
      <c r="B43" s="1">
        <v>2.0</v>
      </c>
      <c r="C43" s="1">
        <v>200.0</v>
      </c>
      <c r="D43" s="13">
        <f t="shared" si="1"/>
        <v>400</v>
      </c>
      <c r="E43" s="13">
        <f t="shared" si="2"/>
        <v>80</v>
      </c>
    </row>
    <row r="44">
      <c r="A44" s="1" t="s">
        <v>758</v>
      </c>
      <c r="B44" s="1">
        <v>5.0</v>
      </c>
      <c r="C44" s="1">
        <v>25.0</v>
      </c>
      <c r="D44" s="13">
        <f t="shared" si="1"/>
        <v>125</v>
      </c>
      <c r="E44" s="13">
        <f t="shared" si="2"/>
        <v>25</v>
      </c>
    </row>
    <row r="45">
      <c r="A45" s="1" t="s">
        <v>874</v>
      </c>
      <c r="B45" s="1">
        <v>1.0</v>
      </c>
      <c r="C45" s="1">
        <v>450.0</v>
      </c>
      <c r="D45" s="13">
        <f t="shared" si="1"/>
        <v>450</v>
      </c>
      <c r="E45" s="13">
        <f t="shared" si="2"/>
        <v>90</v>
      </c>
    </row>
    <row r="46">
      <c r="A46" s="1" t="s">
        <v>758</v>
      </c>
      <c r="B46" s="1">
        <v>3.0</v>
      </c>
      <c r="C46" s="1">
        <v>25.0</v>
      </c>
      <c r="D46" s="13">
        <f t="shared" si="1"/>
        <v>75</v>
      </c>
      <c r="E46" s="13">
        <f t="shared" si="2"/>
        <v>15</v>
      </c>
      <c r="F46" s="1" t="s">
        <v>621</v>
      </c>
      <c r="G46" s="13">
        <f>G41+E42+E43+E44+E45+E46</f>
        <v>2850</v>
      </c>
    </row>
    <row r="47">
      <c r="A47" s="1" t="s">
        <v>877</v>
      </c>
      <c r="B47" s="1">
        <v>6.0</v>
      </c>
      <c r="C47" s="1">
        <v>100.0</v>
      </c>
      <c r="D47" s="13">
        <f t="shared" si="1"/>
        <v>600</v>
      </c>
      <c r="E47" s="13">
        <f t="shared" si="2"/>
        <v>120</v>
      </c>
    </row>
    <row r="48">
      <c r="A48" s="1" t="s">
        <v>878</v>
      </c>
      <c r="B48" s="1">
        <v>1.0</v>
      </c>
      <c r="C48" s="1">
        <v>1500.0</v>
      </c>
      <c r="D48" s="13">
        <f t="shared" si="1"/>
        <v>1500</v>
      </c>
      <c r="E48" s="13">
        <f t="shared" si="2"/>
        <v>300</v>
      </c>
    </row>
    <row r="49">
      <c r="A49" s="1" t="s">
        <v>879</v>
      </c>
      <c r="B49" s="1">
        <v>6.0</v>
      </c>
      <c r="C49" s="1">
        <v>100.0</v>
      </c>
      <c r="D49" s="13">
        <f t="shared" si="1"/>
        <v>600</v>
      </c>
      <c r="E49" s="13">
        <f t="shared" si="2"/>
        <v>120</v>
      </c>
    </row>
    <row r="50">
      <c r="A50" s="1" t="s">
        <v>880</v>
      </c>
      <c r="B50" s="1">
        <v>1.0</v>
      </c>
      <c r="C50" s="1">
        <v>700.0</v>
      </c>
      <c r="D50" s="13">
        <f t="shared" si="1"/>
        <v>700</v>
      </c>
      <c r="E50" s="13">
        <f t="shared" si="2"/>
        <v>140</v>
      </c>
    </row>
    <row r="51">
      <c r="A51" s="1" t="s">
        <v>882</v>
      </c>
      <c r="B51" s="1">
        <v>1.0</v>
      </c>
      <c r="C51" s="1">
        <v>1500.0</v>
      </c>
      <c r="D51" s="13">
        <f t="shared" si="1"/>
        <v>1500</v>
      </c>
      <c r="E51" s="13">
        <f t="shared" si="2"/>
        <v>300</v>
      </c>
      <c r="F51" s="1" t="s">
        <v>621</v>
      </c>
      <c r="G51" s="13">
        <f>sum(E3:E51)</f>
        <v>3830</v>
      </c>
    </row>
    <row r="52">
      <c r="A52" s="1" t="s">
        <v>884</v>
      </c>
      <c r="B52" s="1">
        <v>2.0</v>
      </c>
      <c r="C52" s="1">
        <v>200.0</v>
      </c>
      <c r="D52" s="13">
        <f t="shared" si="1"/>
        <v>400</v>
      </c>
      <c r="E52" s="13">
        <f t="shared" si="2"/>
        <v>80</v>
      </c>
    </row>
    <row r="53">
      <c r="A53" s="1" t="s">
        <v>886</v>
      </c>
      <c r="B53" s="1">
        <v>3.0</v>
      </c>
      <c r="C53" s="1">
        <v>450.0</v>
      </c>
      <c r="D53" s="13">
        <f t="shared" si="1"/>
        <v>1350</v>
      </c>
      <c r="E53" s="13">
        <f t="shared" si="2"/>
        <v>270</v>
      </c>
    </row>
    <row r="54">
      <c r="A54" s="1" t="s">
        <v>888</v>
      </c>
      <c r="B54" s="1">
        <v>5.0</v>
      </c>
      <c r="C54" s="1">
        <v>300.0</v>
      </c>
      <c r="D54" s="13">
        <f t="shared" si="1"/>
        <v>1500</v>
      </c>
      <c r="E54" s="13">
        <f t="shared" si="2"/>
        <v>300</v>
      </c>
    </row>
    <row r="55">
      <c r="A55" s="1" t="s">
        <v>890</v>
      </c>
      <c r="B55" s="1">
        <v>5.0</v>
      </c>
      <c r="C55" s="1">
        <v>300.0</v>
      </c>
      <c r="D55" s="13">
        <f t="shared" si="1"/>
        <v>1500</v>
      </c>
      <c r="E55" s="13">
        <f t="shared" si="2"/>
        <v>300</v>
      </c>
    </row>
    <row r="56">
      <c r="A56" s="1" t="s">
        <v>892</v>
      </c>
      <c r="B56" s="1">
        <v>5.0</v>
      </c>
      <c r="C56" s="1">
        <v>500.0</v>
      </c>
      <c r="D56" s="13">
        <f t="shared" si="1"/>
        <v>2500</v>
      </c>
      <c r="E56" s="13">
        <f t="shared" si="2"/>
        <v>500</v>
      </c>
    </row>
    <row r="57">
      <c r="A57" s="1" t="s">
        <v>893</v>
      </c>
      <c r="B57" s="1">
        <v>5.0</v>
      </c>
      <c r="C57" s="1">
        <v>300.0</v>
      </c>
      <c r="D57" s="13">
        <f t="shared" si="1"/>
        <v>1500</v>
      </c>
      <c r="E57" s="13">
        <f t="shared" si="2"/>
        <v>300</v>
      </c>
      <c r="F57" s="1" t="s">
        <v>621</v>
      </c>
      <c r="G57" s="13">
        <f>sum(E9:E57)</f>
        <v>5280</v>
      </c>
    </row>
    <row r="58">
      <c r="A58" s="1" t="s">
        <v>895</v>
      </c>
      <c r="B58" s="1">
        <v>5.0</v>
      </c>
      <c r="C58" s="1">
        <v>500.0</v>
      </c>
      <c r="D58" s="13">
        <f t="shared" si="1"/>
        <v>2500</v>
      </c>
      <c r="E58" s="13">
        <f t="shared" si="2"/>
        <v>500</v>
      </c>
    </row>
    <row r="59">
      <c r="A59" s="1" t="s">
        <v>897</v>
      </c>
      <c r="B59" s="1">
        <v>1.0</v>
      </c>
      <c r="C59" s="1">
        <v>450.0</v>
      </c>
      <c r="D59" s="13">
        <f t="shared" si="1"/>
        <v>450</v>
      </c>
      <c r="E59" s="13">
        <f t="shared" si="2"/>
        <v>90</v>
      </c>
    </row>
    <row r="60">
      <c r="A60" s="1" t="s">
        <v>899</v>
      </c>
      <c r="B60" s="1">
        <v>5.0</v>
      </c>
      <c r="C60" s="1">
        <v>500.0</v>
      </c>
      <c r="D60" s="13">
        <f t="shared" si="1"/>
        <v>2500</v>
      </c>
      <c r="E60" s="13">
        <f t="shared" si="2"/>
        <v>500</v>
      </c>
    </row>
    <row r="61">
      <c r="A61" s="1" t="s">
        <v>900</v>
      </c>
      <c r="B61" s="1">
        <v>4.0</v>
      </c>
      <c r="C61" s="1">
        <v>700.0</v>
      </c>
      <c r="D61" s="13">
        <f t="shared" si="1"/>
        <v>2800</v>
      </c>
      <c r="E61" s="13">
        <f t="shared" si="2"/>
        <v>560</v>
      </c>
      <c r="F61" s="1" t="s">
        <v>621</v>
      </c>
      <c r="G61" s="13">
        <f>sum(E13:E61)</f>
        <v>6840</v>
      </c>
    </row>
    <row r="62">
      <c r="A62" s="1" t="s">
        <v>902</v>
      </c>
      <c r="B62" s="1">
        <v>12.0</v>
      </c>
      <c r="C62" s="1">
        <v>25.0</v>
      </c>
      <c r="D62" s="13">
        <f t="shared" si="1"/>
        <v>300</v>
      </c>
      <c r="E62" s="13">
        <f t="shared" si="2"/>
        <v>60</v>
      </c>
    </row>
    <row r="63">
      <c r="A63" s="1" t="s">
        <v>904</v>
      </c>
      <c r="D63" s="1">
        <v>1000.0</v>
      </c>
      <c r="E63" s="13">
        <f t="shared" si="2"/>
        <v>200</v>
      </c>
      <c r="F63" s="1" t="s">
        <v>621</v>
      </c>
      <c r="G63" s="13">
        <f t="shared" ref="G63:G69" si="3">sum($E$13:E63)</f>
        <v>7100</v>
      </c>
    </row>
    <row r="64">
      <c r="A64" s="1" t="s">
        <v>906</v>
      </c>
      <c r="B64" s="1">
        <v>4.0</v>
      </c>
      <c r="C64" s="1">
        <v>450.0</v>
      </c>
      <c r="D64" s="13">
        <f t="shared" ref="D64:D69" si="4">B64*C64</f>
        <v>1800</v>
      </c>
      <c r="E64" s="13">
        <f t="shared" si="2"/>
        <v>360</v>
      </c>
      <c r="G64" s="13">
        <f t="shared" si="3"/>
        <v>7460</v>
      </c>
    </row>
    <row r="65">
      <c r="A65" s="1" t="s">
        <v>909</v>
      </c>
      <c r="B65" s="1">
        <v>1.0</v>
      </c>
      <c r="C65" s="1">
        <v>700.0</v>
      </c>
      <c r="D65" s="13">
        <f t="shared" si="4"/>
        <v>700</v>
      </c>
      <c r="E65" s="13">
        <f t="shared" si="2"/>
        <v>140</v>
      </c>
      <c r="G65" s="13">
        <f t="shared" si="3"/>
        <v>7600</v>
      </c>
    </row>
    <row r="66">
      <c r="A66" s="1" t="s">
        <v>758</v>
      </c>
      <c r="B66" s="1">
        <v>4.0</v>
      </c>
      <c r="C66" s="1">
        <v>200.0</v>
      </c>
      <c r="D66" s="13">
        <f t="shared" si="4"/>
        <v>800</v>
      </c>
      <c r="E66" s="13">
        <f t="shared" si="2"/>
        <v>160</v>
      </c>
      <c r="G66" s="13">
        <f t="shared" si="3"/>
        <v>7760</v>
      </c>
    </row>
    <row r="67">
      <c r="A67" s="1" t="s">
        <v>758</v>
      </c>
      <c r="B67" s="1">
        <v>4.0</v>
      </c>
      <c r="C67" s="1">
        <v>25.0</v>
      </c>
      <c r="D67" s="13">
        <f t="shared" si="4"/>
        <v>100</v>
      </c>
      <c r="E67" s="13">
        <f t="shared" si="2"/>
        <v>20</v>
      </c>
      <c r="G67" s="13">
        <f t="shared" si="3"/>
        <v>7780</v>
      </c>
    </row>
    <row r="68">
      <c r="A68" s="1" t="s">
        <v>914</v>
      </c>
      <c r="B68" s="1">
        <v>1.0</v>
      </c>
      <c r="C68" s="1">
        <v>450.0</v>
      </c>
      <c r="D68" s="13">
        <f t="shared" si="4"/>
        <v>450</v>
      </c>
      <c r="E68" s="13">
        <f t="shared" si="2"/>
        <v>90</v>
      </c>
      <c r="G68" s="13">
        <f t="shared" si="3"/>
        <v>7870</v>
      </c>
    </row>
    <row r="69">
      <c r="A69" s="1" t="s">
        <v>917</v>
      </c>
      <c r="B69" s="1">
        <v>10.0</v>
      </c>
      <c r="C69" s="1">
        <v>100.0</v>
      </c>
      <c r="D69" s="13">
        <f t="shared" si="4"/>
        <v>1000</v>
      </c>
      <c r="E69" s="13">
        <f t="shared" si="2"/>
        <v>200</v>
      </c>
      <c r="G69" s="13">
        <f t="shared" si="3"/>
        <v>8070</v>
      </c>
    </row>
    <row r="70">
      <c r="A70" s="1" t="s">
        <v>918</v>
      </c>
      <c r="B70" s="1"/>
      <c r="C70" s="1"/>
      <c r="E70" s="1">
        <v>5930.0</v>
      </c>
    </row>
    <row r="71">
      <c r="A71" s="1" t="s">
        <v>919</v>
      </c>
      <c r="B71" s="1">
        <v>2.0</v>
      </c>
      <c r="C71" s="1">
        <v>450.0</v>
      </c>
      <c r="D71" s="13">
        <f>B71*C71</f>
        <v>900</v>
      </c>
      <c r="E71" s="13">
        <f>D71/5</f>
        <v>180</v>
      </c>
      <c r="G71" s="13">
        <f>sum($E$13:E71)</f>
        <v>14180</v>
      </c>
    </row>
    <row r="72">
      <c r="A72" s="1" t="s">
        <v>918</v>
      </c>
    </row>
    <row r="73">
      <c r="D73" s="13">
        <f t="shared" ref="D73:D96" si="5">B73*C73</f>
        <v>0</v>
      </c>
      <c r="E73" s="13">
        <f t="shared" ref="E73:E96" si="6">D73/5</f>
        <v>0</v>
      </c>
      <c r="G73" s="13">
        <f t="shared" ref="G73:G96" si="7">sum($E$13:E73)</f>
        <v>14180</v>
      </c>
    </row>
    <row r="74">
      <c r="D74" s="13">
        <f t="shared" si="5"/>
        <v>0</v>
      </c>
      <c r="E74" s="13">
        <f t="shared" si="6"/>
        <v>0</v>
      </c>
      <c r="G74" s="13">
        <f t="shared" si="7"/>
        <v>14180</v>
      </c>
    </row>
    <row r="75">
      <c r="D75" s="13">
        <f t="shared" si="5"/>
        <v>0</v>
      </c>
      <c r="E75" s="13">
        <f t="shared" si="6"/>
        <v>0</v>
      </c>
      <c r="G75" s="13">
        <f t="shared" si="7"/>
        <v>14180</v>
      </c>
    </row>
    <row r="76">
      <c r="D76" s="13">
        <f t="shared" si="5"/>
        <v>0</v>
      </c>
      <c r="E76" s="13">
        <f t="shared" si="6"/>
        <v>0</v>
      </c>
      <c r="G76" s="13">
        <f t="shared" si="7"/>
        <v>14180</v>
      </c>
    </row>
    <row r="77">
      <c r="D77" s="13">
        <f t="shared" si="5"/>
        <v>0</v>
      </c>
      <c r="E77" s="13">
        <f t="shared" si="6"/>
        <v>0</v>
      </c>
      <c r="G77" s="13">
        <f t="shared" si="7"/>
        <v>14180</v>
      </c>
    </row>
    <row r="78">
      <c r="D78" s="13">
        <f t="shared" si="5"/>
        <v>0</v>
      </c>
      <c r="E78" s="13">
        <f t="shared" si="6"/>
        <v>0</v>
      </c>
      <c r="G78" s="13">
        <f t="shared" si="7"/>
        <v>14180</v>
      </c>
    </row>
    <row r="79">
      <c r="D79" s="13">
        <f t="shared" si="5"/>
        <v>0</v>
      </c>
      <c r="E79" s="13">
        <f t="shared" si="6"/>
        <v>0</v>
      </c>
      <c r="G79" s="13">
        <f t="shared" si="7"/>
        <v>14180</v>
      </c>
    </row>
    <row r="80">
      <c r="D80" s="13">
        <f t="shared" si="5"/>
        <v>0</v>
      </c>
      <c r="E80" s="13">
        <f t="shared" si="6"/>
        <v>0</v>
      </c>
      <c r="G80" s="13">
        <f t="shared" si="7"/>
        <v>14180</v>
      </c>
    </row>
    <row r="81">
      <c r="D81" s="13">
        <f t="shared" si="5"/>
        <v>0</v>
      </c>
      <c r="E81" s="13">
        <f t="shared" si="6"/>
        <v>0</v>
      </c>
      <c r="G81" s="13">
        <f t="shared" si="7"/>
        <v>14180</v>
      </c>
    </row>
    <row r="82">
      <c r="D82" s="13">
        <f t="shared" si="5"/>
        <v>0</v>
      </c>
      <c r="E82" s="13">
        <f t="shared" si="6"/>
        <v>0</v>
      </c>
      <c r="G82" s="13">
        <f t="shared" si="7"/>
        <v>14180</v>
      </c>
    </row>
    <row r="83">
      <c r="D83" s="13">
        <f t="shared" si="5"/>
        <v>0</v>
      </c>
      <c r="E83" s="13">
        <f t="shared" si="6"/>
        <v>0</v>
      </c>
      <c r="G83" s="13">
        <f t="shared" si="7"/>
        <v>14180</v>
      </c>
    </row>
    <row r="84">
      <c r="D84" s="13">
        <f t="shared" si="5"/>
        <v>0</v>
      </c>
      <c r="E84" s="13">
        <f t="shared" si="6"/>
        <v>0</v>
      </c>
      <c r="G84" s="13">
        <f t="shared" si="7"/>
        <v>14180</v>
      </c>
    </row>
    <row r="85">
      <c r="D85" s="13">
        <f t="shared" si="5"/>
        <v>0</v>
      </c>
      <c r="E85" s="13">
        <f t="shared" si="6"/>
        <v>0</v>
      </c>
      <c r="G85" s="13">
        <f t="shared" si="7"/>
        <v>14180</v>
      </c>
    </row>
    <row r="86">
      <c r="D86" s="13">
        <f t="shared" si="5"/>
        <v>0</v>
      </c>
      <c r="E86" s="13">
        <f t="shared" si="6"/>
        <v>0</v>
      </c>
      <c r="G86" s="13">
        <f t="shared" si="7"/>
        <v>14180</v>
      </c>
    </row>
    <row r="87">
      <c r="D87" s="13">
        <f t="shared" si="5"/>
        <v>0</v>
      </c>
      <c r="E87" s="13">
        <f t="shared" si="6"/>
        <v>0</v>
      </c>
      <c r="G87" s="13">
        <f t="shared" si="7"/>
        <v>14180</v>
      </c>
    </row>
    <row r="88">
      <c r="D88" s="13">
        <f t="shared" si="5"/>
        <v>0</v>
      </c>
      <c r="E88" s="13">
        <f t="shared" si="6"/>
        <v>0</v>
      </c>
      <c r="G88" s="13">
        <f t="shared" si="7"/>
        <v>14180</v>
      </c>
    </row>
    <row r="89">
      <c r="D89" s="13">
        <f t="shared" si="5"/>
        <v>0</v>
      </c>
      <c r="E89" s="13">
        <f t="shared" si="6"/>
        <v>0</v>
      </c>
      <c r="G89" s="13">
        <f t="shared" si="7"/>
        <v>14180</v>
      </c>
    </row>
    <row r="90">
      <c r="D90" s="13">
        <f t="shared" si="5"/>
        <v>0</v>
      </c>
      <c r="E90" s="13">
        <f t="shared" si="6"/>
        <v>0</v>
      </c>
      <c r="G90" s="13">
        <f t="shared" si="7"/>
        <v>14180</v>
      </c>
    </row>
    <row r="91">
      <c r="D91" s="13">
        <f t="shared" si="5"/>
        <v>0</v>
      </c>
      <c r="E91" s="13">
        <f t="shared" si="6"/>
        <v>0</v>
      </c>
      <c r="G91" s="13">
        <f t="shared" si="7"/>
        <v>14180</v>
      </c>
    </row>
    <row r="92">
      <c r="D92" s="13">
        <f t="shared" si="5"/>
        <v>0</v>
      </c>
      <c r="E92" s="13">
        <f t="shared" si="6"/>
        <v>0</v>
      </c>
      <c r="G92" s="13">
        <f t="shared" si="7"/>
        <v>14180</v>
      </c>
    </row>
    <row r="93">
      <c r="D93" s="13">
        <f t="shared" si="5"/>
        <v>0</v>
      </c>
      <c r="E93" s="13">
        <f t="shared" si="6"/>
        <v>0</v>
      </c>
      <c r="G93" s="13">
        <f t="shared" si="7"/>
        <v>14180</v>
      </c>
    </row>
    <row r="94">
      <c r="D94" s="13">
        <f t="shared" si="5"/>
        <v>0</v>
      </c>
      <c r="E94" s="13">
        <f t="shared" si="6"/>
        <v>0</v>
      </c>
      <c r="G94" s="13">
        <f t="shared" si="7"/>
        <v>14180</v>
      </c>
    </row>
    <row r="95">
      <c r="D95" s="13">
        <f t="shared" si="5"/>
        <v>0</v>
      </c>
      <c r="E95" s="13">
        <f t="shared" si="6"/>
        <v>0</v>
      </c>
      <c r="G95" s="13">
        <f t="shared" si="7"/>
        <v>14180</v>
      </c>
    </row>
    <row r="96">
      <c r="D96" s="13">
        <f t="shared" si="5"/>
        <v>0</v>
      </c>
      <c r="E96" s="13">
        <f t="shared" si="6"/>
        <v>0</v>
      </c>
      <c r="G96" s="13">
        <f t="shared" si="7"/>
        <v>14180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13"/>
    <col customWidth="1" min="8" max="8" width="21.75"/>
    <col customWidth="1" min="9" max="9" width="15.25"/>
  </cols>
  <sheetData>
    <row r="1">
      <c r="A1" s="1" t="s">
        <v>630</v>
      </c>
    </row>
    <row r="2">
      <c r="A2" s="1" t="s">
        <v>633</v>
      </c>
    </row>
    <row r="3">
      <c r="A3" s="1" t="s">
        <v>635</v>
      </c>
    </row>
    <row r="4">
      <c r="A4" s="1" t="s">
        <v>637</v>
      </c>
    </row>
    <row r="5">
      <c r="A5" s="1" t="s">
        <v>640</v>
      </c>
    </row>
    <row r="6">
      <c r="A6" s="1" t="s">
        <v>643</v>
      </c>
    </row>
    <row r="7">
      <c r="A7" s="1" t="s">
        <v>645</v>
      </c>
    </row>
    <row r="8">
      <c r="A8" s="1" t="s">
        <v>648</v>
      </c>
    </row>
    <row r="9">
      <c r="A9" s="1" t="s">
        <v>650</v>
      </c>
    </row>
    <row r="13">
      <c r="A13" s="1" t="s">
        <v>655</v>
      </c>
      <c r="B13" s="1" t="s">
        <v>658</v>
      </c>
      <c r="E13" s="1" t="s">
        <v>660</v>
      </c>
      <c r="F13" s="1" t="s">
        <v>663</v>
      </c>
      <c r="I13" s="1" t="s">
        <v>667</v>
      </c>
      <c r="K13" s="1" t="s">
        <v>670</v>
      </c>
    </row>
    <row r="14">
      <c r="A14" s="1" t="s">
        <v>673</v>
      </c>
    </row>
    <row r="16">
      <c r="A16" s="1" t="s">
        <v>676</v>
      </c>
    </row>
    <row r="17">
      <c r="A17" s="1" t="s">
        <v>680</v>
      </c>
    </row>
    <row r="18">
      <c r="A18" s="1" t="s">
        <v>683</v>
      </c>
    </row>
    <row r="19">
      <c r="A19" s="1" t="s">
        <v>685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9" max="9" width="16.13"/>
    <col customWidth="1" min="10" max="10" width="17.25"/>
    <col customWidth="1" min="11" max="11" width="23.38"/>
  </cols>
  <sheetData>
    <row r="1">
      <c r="A1" s="1" t="s">
        <v>732</v>
      </c>
      <c r="L1" s="20" t="s">
        <v>739</v>
      </c>
      <c r="M1" s="20" t="s">
        <v>745</v>
      </c>
      <c r="N1" s="20" t="s">
        <v>749</v>
      </c>
      <c r="O1" s="20" t="s">
        <v>754</v>
      </c>
    </row>
    <row r="2">
      <c r="A2" s="1" t="s">
        <v>613</v>
      </c>
      <c r="B2" s="1" t="s">
        <v>616</v>
      </c>
      <c r="C2" s="1" t="s">
        <v>619</v>
      </c>
      <c r="D2" s="1" t="s">
        <v>621</v>
      </c>
      <c r="E2" s="1" t="s">
        <v>766</v>
      </c>
      <c r="I2" s="1" t="s">
        <v>625</v>
      </c>
      <c r="L2" s="29"/>
      <c r="M2" s="29"/>
      <c r="N2" s="30">
        <v>3.0</v>
      </c>
      <c r="O2" s="30"/>
    </row>
    <row r="3">
      <c r="A3" s="1" t="s">
        <v>791</v>
      </c>
      <c r="B3" s="1">
        <v>16.0</v>
      </c>
      <c r="C3" s="1">
        <v>50.0</v>
      </c>
      <c r="D3" s="13">
        <f t="shared" ref="D3:D5" si="1">B3*C3</f>
        <v>800</v>
      </c>
      <c r="E3" s="13">
        <f t="shared" ref="E3:E5" si="2">D3/4</f>
        <v>200</v>
      </c>
      <c r="I3" s="1" t="s">
        <v>815</v>
      </c>
      <c r="J3" s="1" t="s">
        <v>818</v>
      </c>
      <c r="L3" s="30">
        <v>90.0</v>
      </c>
      <c r="M3" s="29"/>
      <c r="N3" s="29"/>
      <c r="O3" s="29"/>
    </row>
    <row r="4">
      <c r="A4" s="1" t="s">
        <v>836</v>
      </c>
      <c r="B4" s="1">
        <v>1.0</v>
      </c>
      <c r="C4" s="1">
        <v>200.0</v>
      </c>
      <c r="D4" s="1">
        <f t="shared" si="1"/>
        <v>200</v>
      </c>
      <c r="E4" s="13">
        <f t="shared" si="2"/>
        <v>50</v>
      </c>
      <c r="I4" s="1" t="s">
        <v>847</v>
      </c>
      <c r="J4" s="1">
        <v>25.0</v>
      </c>
      <c r="L4" s="30">
        <v>30.0</v>
      </c>
      <c r="M4" s="30">
        <v>62.0</v>
      </c>
      <c r="N4" s="30"/>
      <c r="O4" s="30"/>
    </row>
    <row r="5">
      <c r="A5" s="1" t="s">
        <v>852</v>
      </c>
      <c r="B5" s="1">
        <v>1.0</v>
      </c>
      <c r="C5" s="1">
        <v>300.0</v>
      </c>
      <c r="D5" s="1">
        <f t="shared" si="1"/>
        <v>300</v>
      </c>
      <c r="E5" s="13">
        <f t="shared" si="2"/>
        <v>75</v>
      </c>
      <c r="I5" s="31" t="s">
        <v>858</v>
      </c>
      <c r="J5" s="1">
        <v>75.0</v>
      </c>
      <c r="L5" s="30">
        <v>150.0</v>
      </c>
      <c r="M5" s="29"/>
      <c r="N5" s="29"/>
      <c r="O5" s="29"/>
    </row>
    <row r="6">
      <c r="E6" s="13">
        <f t="shared" ref="E6:E7" si="3">D6/5</f>
        <v>0</v>
      </c>
      <c r="L6" s="30">
        <v>-5.0</v>
      </c>
      <c r="M6" s="29"/>
      <c r="N6" s="29"/>
      <c r="O6" s="29"/>
    </row>
    <row r="7">
      <c r="E7" s="13">
        <f t="shared" si="3"/>
        <v>0</v>
      </c>
      <c r="L7" s="30">
        <v>-25.0</v>
      </c>
      <c r="M7" s="29"/>
      <c r="N7" s="29"/>
      <c r="O7" s="29"/>
    </row>
    <row r="8">
      <c r="F8" s="32" t="s">
        <v>621</v>
      </c>
      <c r="G8" s="33">
        <f>sum(E3:E32)</f>
        <v>2762.75</v>
      </c>
      <c r="L8" s="30">
        <v>120.0</v>
      </c>
      <c r="M8" s="29"/>
      <c r="N8" s="30"/>
      <c r="O8" s="29"/>
    </row>
    <row r="9">
      <c r="A9" s="1" t="s">
        <v>871</v>
      </c>
      <c r="D9" s="1">
        <v>200.0</v>
      </c>
      <c r="E9" s="13">
        <f t="shared" ref="E9:E41" si="4">D9/4</f>
        <v>50</v>
      </c>
      <c r="L9" s="30">
        <v>45.0</v>
      </c>
      <c r="M9" s="30">
        <v>22.0</v>
      </c>
      <c r="N9" s="30"/>
      <c r="O9" s="30">
        <v>25.0</v>
      </c>
    </row>
    <row r="10">
      <c r="A10" s="1" t="s">
        <v>873</v>
      </c>
      <c r="D10" s="1">
        <v>1250.0</v>
      </c>
      <c r="E10" s="13">
        <f t="shared" si="4"/>
        <v>312.5</v>
      </c>
      <c r="L10" s="30">
        <v>88.0</v>
      </c>
      <c r="M10" s="29"/>
      <c r="N10" s="29"/>
      <c r="O10" s="29"/>
    </row>
    <row r="11">
      <c r="A11" s="1" t="s">
        <v>875</v>
      </c>
      <c r="D11" s="1">
        <v>200.0</v>
      </c>
      <c r="E11" s="13">
        <f t="shared" si="4"/>
        <v>50</v>
      </c>
      <c r="L11" s="30">
        <v>22.0</v>
      </c>
      <c r="M11" s="30">
        <v>15.0</v>
      </c>
      <c r="N11" s="30"/>
      <c r="O11" s="29"/>
    </row>
    <row r="12">
      <c r="A12" s="1" t="s">
        <v>876</v>
      </c>
      <c r="B12" s="1">
        <v>1.0</v>
      </c>
      <c r="C12" s="1">
        <v>450.0</v>
      </c>
      <c r="D12" s="13">
        <f t="shared" ref="D12:D18" si="5">B12*C12</f>
        <v>450</v>
      </c>
      <c r="E12" s="13">
        <f t="shared" si="4"/>
        <v>112.5</v>
      </c>
      <c r="L12" s="30">
        <v>130.0</v>
      </c>
      <c r="M12" s="29"/>
      <c r="N12" s="30"/>
      <c r="O12" s="29"/>
    </row>
    <row r="13">
      <c r="A13" s="1" t="s">
        <v>881</v>
      </c>
      <c r="B13" s="1">
        <v>4.0</v>
      </c>
      <c r="C13" s="1">
        <v>100.0</v>
      </c>
      <c r="D13" s="13">
        <f t="shared" si="5"/>
        <v>400</v>
      </c>
      <c r="E13" s="13">
        <f t="shared" si="4"/>
        <v>100</v>
      </c>
      <c r="L13" s="30">
        <v>50.0</v>
      </c>
      <c r="M13" s="29"/>
      <c r="N13" s="29"/>
      <c r="O13" s="29"/>
    </row>
    <row r="14">
      <c r="A14" s="1" t="s">
        <v>883</v>
      </c>
      <c r="B14" s="1">
        <v>3.0</v>
      </c>
      <c r="C14" s="1">
        <v>200.0</v>
      </c>
      <c r="D14" s="13">
        <f t="shared" si="5"/>
        <v>600</v>
      </c>
      <c r="E14" s="13">
        <f t="shared" si="4"/>
        <v>150</v>
      </c>
      <c r="L14" s="30">
        <v>200.0</v>
      </c>
      <c r="M14" s="29"/>
      <c r="N14" s="29"/>
      <c r="O14" s="29"/>
    </row>
    <row r="15">
      <c r="A15" s="31" t="s">
        <v>885</v>
      </c>
      <c r="B15" s="1">
        <v>1.0</v>
      </c>
      <c r="C15" s="1">
        <v>1.0</v>
      </c>
      <c r="D15" s="13">
        <f t="shared" si="5"/>
        <v>1</v>
      </c>
      <c r="E15" s="13">
        <f t="shared" si="4"/>
        <v>0.25</v>
      </c>
      <c r="K15" s="31" t="s">
        <v>887</v>
      </c>
      <c r="L15" s="30">
        <v>-210.0</v>
      </c>
      <c r="M15" s="29"/>
      <c r="N15" s="29"/>
      <c r="O15" s="29"/>
    </row>
    <row r="16">
      <c r="A16" s="1" t="s">
        <v>889</v>
      </c>
      <c r="B16" s="1">
        <v>3.0</v>
      </c>
      <c r="C16" s="1">
        <v>100.0</v>
      </c>
      <c r="D16" s="13">
        <f t="shared" si="5"/>
        <v>300</v>
      </c>
      <c r="E16" s="13">
        <f t="shared" si="4"/>
        <v>75</v>
      </c>
      <c r="L16" s="30"/>
      <c r="M16" s="29"/>
      <c r="N16" s="29"/>
      <c r="O16" s="29"/>
    </row>
    <row r="17">
      <c r="A17" s="1" t="s">
        <v>891</v>
      </c>
      <c r="B17" s="1">
        <v>3.0</v>
      </c>
      <c r="C17" s="1">
        <v>50.0</v>
      </c>
      <c r="D17" s="13">
        <f t="shared" si="5"/>
        <v>150</v>
      </c>
      <c r="E17" s="13">
        <f t="shared" si="4"/>
        <v>37.5</v>
      </c>
      <c r="L17" s="30">
        <v>71.0</v>
      </c>
      <c r="M17" s="29"/>
      <c r="N17" s="29"/>
      <c r="O17" s="29"/>
    </row>
    <row r="18">
      <c r="A18" s="1" t="s">
        <v>894</v>
      </c>
      <c r="B18" s="1">
        <v>2.0</v>
      </c>
      <c r="C18" s="1">
        <v>100.0</v>
      </c>
      <c r="D18" s="13">
        <f t="shared" si="5"/>
        <v>200</v>
      </c>
      <c r="E18" s="13">
        <f t="shared" si="4"/>
        <v>50</v>
      </c>
      <c r="L18" s="30">
        <v>14.0</v>
      </c>
      <c r="M18" s="29"/>
      <c r="N18" s="29"/>
      <c r="O18" s="29"/>
    </row>
    <row r="19">
      <c r="A19" s="1" t="s">
        <v>896</v>
      </c>
      <c r="D19" s="1">
        <v>100.0</v>
      </c>
      <c r="E19" s="13">
        <f t="shared" si="4"/>
        <v>25</v>
      </c>
      <c r="L19" s="30">
        <v>23.0</v>
      </c>
      <c r="M19" s="29"/>
      <c r="N19" s="30">
        <v>35.0</v>
      </c>
      <c r="O19" s="29"/>
    </row>
    <row r="20">
      <c r="A20" s="1" t="s">
        <v>898</v>
      </c>
      <c r="D20" s="1">
        <v>100.0</v>
      </c>
      <c r="E20" s="13">
        <f t="shared" si="4"/>
        <v>25</v>
      </c>
      <c r="L20" s="30">
        <v>90.0</v>
      </c>
      <c r="M20" s="34"/>
      <c r="N20" s="35">
        <v>160.0</v>
      </c>
      <c r="O20" s="35">
        <v>700.0</v>
      </c>
    </row>
    <row r="21">
      <c r="A21" s="1" t="s">
        <v>901</v>
      </c>
      <c r="D21" s="13">
        <f t="shared" ref="D21:D25" si="6">B21*C21</f>
        <v>0</v>
      </c>
      <c r="E21" s="13">
        <f t="shared" si="4"/>
        <v>0</v>
      </c>
      <c r="K21" s="1" t="s">
        <v>903</v>
      </c>
      <c r="L21" s="30">
        <v>525.0</v>
      </c>
      <c r="M21" s="34"/>
      <c r="N21" s="34"/>
      <c r="O21" s="34"/>
    </row>
    <row r="22">
      <c r="A22" s="1" t="s">
        <v>877</v>
      </c>
      <c r="B22" s="1">
        <v>4.0</v>
      </c>
      <c r="C22" s="1">
        <v>100.0</v>
      </c>
      <c r="D22" s="13">
        <f t="shared" si="6"/>
        <v>400</v>
      </c>
      <c r="E22" s="13">
        <f t="shared" si="4"/>
        <v>100</v>
      </c>
      <c r="K22" s="1" t="s">
        <v>905</v>
      </c>
      <c r="L22" s="30">
        <v>-50.0</v>
      </c>
      <c r="M22" s="34"/>
      <c r="N22" s="34"/>
      <c r="O22" s="34"/>
    </row>
    <row r="23">
      <c r="A23" s="1" t="s">
        <v>907</v>
      </c>
      <c r="B23" s="1">
        <v>2.0</v>
      </c>
      <c r="C23" s="1">
        <v>200.0</v>
      </c>
      <c r="D23" s="13">
        <f t="shared" si="6"/>
        <v>400</v>
      </c>
      <c r="E23" s="13">
        <f t="shared" si="4"/>
        <v>100</v>
      </c>
      <c r="K23" s="1" t="s">
        <v>908</v>
      </c>
      <c r="L23" s="30">
        <v>-300.0</v>
      </c>
      <c r="M23" s="34"/>
      <c r="N23" s="34"/>
      <c r="O23" s="34"/>
    </row>
    <row r="24">
      <c r="A24" s="1" t="s">
        <v>910</v>
      </c>
      <c r="B24" s="1">
        <v>4.0</v>
      </c>
      <c r="C24" s="1">
        <v>50.0</v>
      </c>
      <c r="D24" s="13">
        <f t="shared" si="6"/>
        <v>200</v>
      </c>
      <c r="E24" s="13">
        <f t="shared" si="4"/>
        <v>50</v>
      </c>
      <c r="K24" s="1" t="s">
        <v>911</v>
      </c>
      <c r="L24" s="30">
        <v>-40.0</v>
      </c>
      <c r="M24" s="34"/>
      <c r="N24" s="34"/>
      <c r="O24" s="34"/>
    </row>
    <row r="25">
      <c r="A25" s="1" t="s">
        <v>912</v>
      </c>
      <c r="B25" s="1">
        <v>8.0</v>
      </c>
      <c r="C25" s="1">
        <v>25.0</v>
      </c>
      <c r="D25" s="13">
        <f t="shared" si="6"/>
        <v>200</v>
      </c>
      <c r="E25" s="13">
        <f t="shared" si="4"/>
        <v>50</v>
      </c>
      <c r="K25" s="1" t="s">
        <v>913</v>
      </c>
      <c r="L25" s="30">
        <v>-360.0</v>
      </c>
      <c r="M25" s="34"/>
      <c r="N25" s="34"/>
      <c r="O25" s="34"/>
    </row>
    <row r="26">
      <c r="A26" s="1" t="s">
        <v>915</v>
      </c>
      <c r="D26" s="1">
        <v>2000.0</v>
      </c>
      <c r="E26" s="13">
        <f t="shared" si="4"/>
        <v>500</v>
      </c>
      <c r="K26" s="1" t="s">
        <v>916</v>
      </c>
      <c r="L26" s="30">
        <v>-8.0</v>
      </c>
      <c r="M26" s="34"/>
      <c r="N26" s="34"/>
      <c r="O26" s="34"/>
    </row>
    <row r="27">
      <c r="A27" s="1" t="s">
        <v>910</v>
      </c>
      <c r="B27" s="1">
        <v>5.0</v>
      </c>
      <c r="C27" s="1">
        <v>50.0</v>
      </c>
      <c r="D27" s="13">
        <f t="shared" ref="D27:D30" si="7">B27*C27</f>
        <v>250</v>
      </c>
      <c r="E27" s="13">
        <f t="shared" si="4"/>
        <v>62.5</v>
      </c>
      <c r="L27" s="30">
        <v>100.0</v>
      </c>
      <c r="M27" s="34"/>
      <c r="N27" s="34"/>
      <c r="O27" s="34"/>
    </row>
    <row r="28">
      <c r="A28" s="1" t="s">
        <v>912</v>
      </c>
      <c r="B28" s="1">
        <v>6.0</v>
      </c>
      <c r="C28" s="1">
        <v>25.0</v>
      </c>
      <c r="D28" s="13">
        <f t="shared" si="7"/>
        <v>150</v>
      </c>
      <c r="E28" s="13">
        <f t="shared" si="4"/>
        <v>37.5</v>
      </c>
      <c r="L28" s="29"/>
      <c r="M28" s="34"/>
      <c r="N28" s="34"/>
      <c r="O28" s="34"/>
    </row>
    <row r="29">
      <c r="A29" s="1" t="s">
        <v>920</v>
      </c>
      <c r="B29" s="1">
        <v>6.0</v>
      </c>
      <c r="C29" s="1">
        <v>25.0</v>
      </c>
      <c r="D29" s="13">
        <f t="shared" si="7"/>
        <v>150</v>
      </c>
      <c r="E29" s="13">
        <f t="shared" si="4"/>
        <v>37.5</v>
      </c>
      <c r="L29" s="29"/>
      <c r="M29" s="34"/>
      <c r="N29" s="34"/>
      <c r="O29" s="34"/>
    </row>
    <row r="30" ht="30.75" customHeight="1">
      <c r="A30" s="31" t="s">
        <v>921</v>
      </c>
      <c r="B30" s="1">
        <v>1.0</v>
      </c>
      <c r="C30" s="1">
        <v>1300.0</v>
      </c>
      <c r="D30" s="13">
        <f t="shared" si="7"/>
        <v>1300</v>
      </c>
      <c r="E30" s="13">
        <f t="shared" si="4"/>
        <v>325</v>
      </c>
      <c r="L30" s="29"/>
      <c r="M30" s="34"/>
      <c r="N30" s="34"/>
      <c r="O30" s="34"/>
    </row>
    <row r="31">
      <c r="A31" s="1" t="s">
        <v>922</v>
      </c>
      <c r="D31" s="1">
        <v>500.0</v>
      </c>
      <c r="E31" s="13">
        <f t="shared" si="4"/>
        <v>125</v>
      </c>
      <c r="L31" s="29"/>
      <c r="M31" s="34"/>
      <c r="N31" s="34"/>
      <c r="O31" s="34"/>
    </row>
    <row r="32">
      <c r="A32" s="1" t="s">
        <v>923</v>
      </c>
      <c r="D32" s="1">
        <v>250.0</v>
      </c>
      <c r="E32" s="13">
        <f t="shared" si="4"/>
        <v>62.5</v>
      </c>
      <c r="L32" s="29"/>
      <c r="M32" s="34"/>
      <c r="N32" s="34"/>
      <c r="O32" s="34"/>
    </row>
    <row r="33">
      <c r="A33" s="1" t="s">
        <v>924</v>
      </c>
      <c r="D33" s="1">
        <v>450.0</v>
      </c>
      <c r="E33" s="13">
        <f t="shared" si="4"/>
        <v>112.5</v>
      </c>
      <c r="L33" s="36">
        <f>SUM(L$2:L32)</f>
        <v>750</v>
      </c>
      <c r="M33" s="36">
        <f t="shared" ref="M33:O33" si="8">SUM(M$2:M25)</f>
        <v>99</v>
      </c>
      <c r="N33" s="36">
        <f t="shared" si="8"/>
        <v>198</v>
      </c>
      <c r="O33" s="36">
        <f t="shared" si="8"/>
        <v>725</v>
      </c>
    </row>
    <row r="34">
      <c r="A34" s="1" t="s">
        <v>925</v>
      </c>
      <c r="D34" s="1">
        <v>700.0</v>
      </c>
      <c r="E34" s="13">
        <f t="shared" si="4"/>
        <v>175</v>
      </c>
      <c r="L34" s="37"/>
      <c r="M34" s="22">
        <f>M33*5</f>
        <v>495</v>
      </c>
      <c r="N34" s="37"/>
      <c r="O34" s="37"/>
    </row>
    <row r="35">
      <c r="A35" s="1" t="s">
        <v>926</v>
      </c>
      <c r="B35" s="1">
        <v>6.0</v>
      </c>
      <c r="C35" s="1">
        <v>50.0</v>
      </c>
      <c r="D35" s="13">
        <f t="shared" ref="D35:D41" si="9">B35*C35</f>
        <v>300</v>
      </c>
      <c r="E35" s="13">
        <f t="shared" si="4"/>
        <v>75</v>
      </c>
      <c r="L35" s="37"/>
      <c r="M35" s="37"/>
      <c r="N35" s="37"/>
      <c r="O35" s="37"/>
    </row>
    <row r="36">
      <c r="A36" s="1" t="s">
        <v>883</v>
      </c>
      <c r="B36" s="1">
        <v>2.0</v>
      </c>
      <c r="C36" s="1">
        <v>200.0</v>
      </c>
      <c r="D36" s="13">
        <f t="shared" si="9"/>
        <v>400</v>
      </c>
      <c r="E36" s="13">
        <f t="shared" si="4"/>
        <v>100</v>
      </c>
      <c r="L36" s="37"/>
      <c r="M36" s="37"/>
      <c r="N36" s="37"/>
      <c r="O36" s="37"/>
    </row>
    <row r="37">
      <c r="A37" s="1" t="s">
        <v>883</v>
      </c>
      <c r="B37" s="1">
        <v>4.0</v>
      </c>
      <c r="C37" s="1">
        <v>200.0</v>
      </c>
      <c r="D37" s="13">
        <f t="shared" si="9"/>
        <v>800</v>
      </c>
      <c r="E37" s="13">
        <f t="shared" si="4"/>
        <v>200</v>
      </c>
      <c r="L37" s="37"/>
      <c r="M37" s="37"/>
      <c r="N37" s="37"/>
      <c r="O37" s="37"/>
    </row>
    <row r="38">
      <c r="A38" s="1" t="s">
        <v>927</v>
      </c>
      <c r="B38" s="1">
        <v>1.0</v>
      </c>
      <c r="C38" s="1">
        <v>700.0</v>
      </c>
      <c r="D38" s="13">
        <f t="shared" si="9"/>
        <v>700</v>
      </c>
      <c r="E38" s="13">
        <f t="shared" si="4"/>
        <v>175</v>
      </c>
      <c r="L38" s="37"/>
      <c r="M38" s="37"/>
      <c r="N38" s="37"/>
      <c r="O38" s="37"/>
    </row>
    <row r="39">
      <c r="A39" s="1" t="s">
        <v>928</v>
      </c>
      <c r="B39" s="1">
        <v>1.0</v>
      </c>
      <c r="C39" s="1">
        <v>450.0</v>
      </c>
      <c r="D39" s="13">
        <f t="shared" si="9"/>
        <v>450</v>
      </c>
      <c r="E39" s="13">
        <f t="shared" si="4"/>
        <v>112.5</v>
      </c>
      <c r="L39" s="37"/>
      <c r="M39" s="37"/>
      <c r="N39" s="37"/>
      <c r="O39" s="37"/>
    </row>
    <row r="40">
      <c r="A40" s="1" t="s">
        <v>883</v>
      </c>
      <c r="B40" s="1">
        <v>2.0</v>
      </c>
      <c r="C40" s="1">
        <v>200.0</v>
      </c>
      <c r="D40" s="13">
        <f t="shared" si="9"/>
        <v>400</v>
      </c>
      <c r="E40" s="13">
        <f t="shared" si="4"/>
        <v>100</v>
      </c>
      <c r="L40" s="37"/>
      <c r="M40" s="37"/>
      <c r="N40" s="37"/>
      <c r="O40" s="37"/>
    </row>
    <row r="41">
      <c r="A41" s="1" t="s">
        <v>929</v>
      </c>
      <c r="B41" s="1">
        <v>4.0</v>
      </c>
      <c r="C41" s="1">
        <v>150.0</v>
      </c>
      <c r="D41" s="13">
        <f t="shared" si="9"/>
        <v>600</v>
      </c>
      <c r="E41" s="13">
        <f t="shared" si="4"/>
        <v>150</v>
      </c>
      <c r="L41" s="37"/>
      <c r="M41" s="37"/>
      <c r="N41" s="37"/>
      <c r="O41" s="37"/>
    </row>
    <row r="42">
      <c r="L42" s="37"/>
      <c r="M42" s="37"/>
      <c r="N42" s="37"/>
      <c r="O42" s="37"/>
    </row>
    <row r="43">
      <c r="L43" s="37"/>
      <c r="M43" s="37"/>
      <c r="N43" s="37"/>
      <c r="O43" s="37"/>
    </row>
    <row r="44">
      <c r="L44" s="37"/>
      <c r="M44" s="37"/>
      <c r="N44" s="37"/>
      <c r="O44" s="37"/>
    </row>
    <row r="45">
      <c r="L45" s="37"/>
      <c r="M45" s="37"/>
      <c r="N45" s="37"/>
      <c r="O45" s="37"/>
    </row>
    <row r="46">
      <c r="L46" s="37"/>
      <c r="M46" s="37"/>
      <c r="N46" s="37"/>
      <c r="O46" s="37"/>
    </row>
    <row r="47">
      <c r="L47" s="37"/>
      <c r="M47" s="37"/>
      <c r="N47" s="37"/>
      <c r="O47" s="37"/>
    </row>
    <row r="48">
      <c r="L48" s="37"/>
      <c r="M48" s="37"/>
      <c r="N48" s="37"/>
      <c r="O48" s="37"/>
    </row>
    <row r="49">
      <c r="L49" s="37"/>
      <c r="M49" s="37"/>
      <c r="N49" s="37"/>
      <c r="O49" s="37"/>
    </row>
    <row r="50">
      <c r="L50" s="37"/>
      <c r="M50" s="37"/>
      <c r="N50" s="37"/>
      <c r="O50" s="37"/>
    </row>
    <row r="51">
      <c r="L51" s="37"/>
      <c r="M51" s="37"/>
      <c r="N51" s="37"/>
      <c r="O51" s="37"/>
    </row>
    <row r="52">
      <c r="L52" s="37"/>
      <c r="M52" s="37"/>
      <c r="N52" s="37"/>
      <c r="O52" s="37"/>
    </row>
    <row r="53">
      <c r="L53" s="37"/>
      <c r="M53" s="37"/>
      <c r="N53" s="37"/>
      <c r="O53" s="37"/>
    </row>
    <row r="54">
      <c r="L54" s="37"/>
      <c r="M54" s="37"/>
      <c r="N54" s="37"/>
      <c r="O54" s="37"/>
    </row>
    <row r="55">
      <c r="L55" s="37"/>
      <c r="M55" s="37"/>
      <c r="N55" s="37"/>
      <c r="O55" s="37"/>
    </row>
    <row r="56">
      <c r="L56" s="37"/>
      <c r="M56" s="37"/>
      <c r="N56" s="37"/>
      <c r="O56" s="37"/>
    </row>
    <row r="57">
      <c r="L57" s="37"/>
      <c r="M57" s="37"/>
      <c r="N57" s="37"/>
      <c r="O57" s="37"/>
    </row>
    <row r="58">
      <c r="L58" s="37"/>
      <c r="M58" s="37"/>
      <c r="N58" s="37"/>
      <c r="O58" s="37"/>
    </row>
    <row r="59">
      <c r="L59" s="37"/>
      <c r="M59" s="37"/>
      <c r="N59" s="37"/>
      <c r="O59" s="37"/>
    </row>
    <row r="60">
      <c r="L60" s="37"/>
      <c r="M60" s="37"/>
      <c r="N60" s="37"/>
      <c r="O60" s="37"/>
    </row>
    <row r="61">
      <c r="L61" s="37"/>
      <c r="M61" s="37"/>
      <c r="N61" s="37"/>
      <c r="O61" s="37"/>
    </row>
    <row r="62">
      <c r="L62" s="37"/>
      <c r="M62" s="37"/>
      <c r="N62" s="37"/>
      <c r="O62" s="37"/>
    </row>
    <row r="63">
      <c r="L63" s="37"/>
      <c r="M63" s="37"/>
      <c r="N63" s="37"/>
      <c r="O63" s="37"/>
    </row>
    <row r="64">
      <c r="L64" s="37"/>
      <c r="M64" s="37"/>
      <c r="N64" s="37"/>
      <c r="O64" s="37"/>
    </row>
    <row r="65">
      <c r="L65" s="37"/>
      <c r="M65" s="37"/>
      <c r="N65" s="37"/>
      <c r="O65" s="37"/>
    </row>
    <row r="66">
      <c r="L66" s="37"/>
      <c r="M66" s="37"/>
      <c r="N66" s="37"/>
      <c r="O66" s="37"/>
    </row>
    <row r="67">
      <c r="L67" s="37"/>
      <c r="M67" s="37"/>
      <c r="N67" s="37"/>
      <c r="O67" s="37"/>
    </row>
    <row r="68">
      <c r="L68" s="37"/>
      <c r="M68" s="37"/>
      <c r="N68" s="37"/>
      <c r="O68" s="37"/>
    </row>
    <row r="69">
      <c r="L69" s="37"/>
      <c r="M69" s="37"/>
      <c r="N69" s="37"/>
      <c r="O69" s="37"/>
    </row>
    <row r="70">
      <c r="L70" s="37"/>
      <c r="M70" s="37"/>
      <c r="N70" s="37"/>
      <c r="O70" s="37"/>
    </row>
    <row r="71">
      <c r="L71" s="37"/>
      <c r="M71" s="37"/>
      <c r="N71" s="37"/>
      <c r="O71" s="37"/>
    </row>
    <row r="72">
      <c r="L72" s="37"/>
      <c r="M72" s="37"/>
      <c r="N72" s="37"/>
      <c r="O72" s="37"/>
    </row>
    <row r="73">
      <c r="L73" s="37"/>
      <c r="M73" s="37"/>
      <c r="N73" s="37"/>
      <c r="O73" s="37"/>
    </row>
    <row r="74">
      <c r="L74" s="37"/>
      <c r="M74" s="37"/>
      <c r="N74" s="37"/>
      <c r="O74" s="37"/>
    </row>
    <row r="75">
      <c r="L75" s="37"/>
      <c r="M75" s="37"/>
      <c r="N75" s="37"/>
      <c r="O75" s="37"/>
    </row>
    <row r="76">
      <c r="L76" s="37"/>
      <c r="M76" s="37"/>
      <c r="N76" s="37"/>
      <c r="O76" s="37"/>
    </row>
    <row r="77">
      <c r="L77" s="37"/>
      <c r="M77" s="37"/>
      <c r="N77" s="37"/>
      <c r="O77" s="37"/>
    </row>
    <row r="78">
      <c r="L78" s="37"/>
      <c r="M78" s="37"/>
      <c r="N78" s="37"/>
      <c r="O78" s="37"/>
    </row>
    <row r="79">
      <c r="L79" s="37"/>
      <c r="M79" s="37"/>
      <c r="N79" s="37"/>
      <c r="O79" s="37"/>
    </row>
    <row r="80">
      <c r="L80" s="37"/>
      <c r="M80" s="37"/>
      <c r="N80" s="37"/>
      <c r="O80" s="37"/>
    </row>
    <row r="81">
      <c r="L81" s="37"/>
      <c r="M81" s="37"/>
      <c r="N81" s="37"/>
      <c r="O81" s="37"/>
    </row>
    <row r="82">
      <c r="L82" s="37"/>
      <c r="M82" s="37"/>
      <c r="N82" s="37"/>
      <c r="O82" s="37"/>
    </row>
    <row r="83">
      <c r="L83" s="37"/>
      <c r="M83" s="37"/>
      <c r="N83" s="37"/>
      <c r="O83" s="37"/>
    </row>
    <row r="84">
      <c r="L84" s="37"/>
      <c r="M84" s="37"/>
      <c r="N84" s="37"/>
      <c r="O84" s="37"/>
    </row>
    <row r="85">
      <c r="L85" s="37"/>
      <c r="M85" s="37"/>
      <c r="N85" s="37"/>
      <c r="O85" s="37"/>
    </row>
    <row r="86">
      <c r="L86" s="37"/>
      <c r="M86" s="37"/>
      <c r="N86" s="37"/>
      <c r="O86" s="37"/>
    </row>
    <row r="87">
      <c r="L87" s="37"/>
      <c r="M87" s="37"/>
      <c r="N87" s="37"/>
      <c r="O87" s="37"/>
    </row>
    <row r="88">
      <c r="L88" s="37"/>
      <c r="M88" s="37"/>
      <c r="N88" s="37"/>
      <c r="O88" s="37"/>
    </row>
    <row r="89">
      <c r="L89" s="37"/>
      <c r="M89" s="37"/>
      <c r="N89" s="37"/>
      <c r="O89" s="37"/>
    </row>
    <row r="90">
      <c r="L90" s="37"/>
      <c r="M90" s="37"/>
      <c r="N90" s="37"/>
      <c r="O90" s="37"/>
    </row>
    <row r="91">
      <c r="L91" s="37"/>
      <c r="M91" s="37"/>
      <c r="N91" s="37"/>
      <c r="O91" s="37"/>
    </row>
    <row r="92">
      <c r="L92" s="37"/>
      <c r="M92" s="37"/>
      <c r="N92" s="37"/>
      <c r="O92" s="37"/>
    </row>
    <row r="93">
      <c r="L93" s="37"/>
      <c r="M93" s="37"/>
      <c r="N93" s="37"/>
      <c r="O93" s="37"/>
    </row>
    <row r="94">
      <c r="L94" s="37"/>
      <c r="M94" s="37"/>
      <c r="N94" s="37"/>
      <c r="O94" s="37"/>
    </row>
    <row r="95">
      <c r="L95" s="37"/>
      <c r="M95" s="37"/>
      <c r="N95" s="37"/>
      <c r="O95" s="37"/>
    </row>
    <row r="96">
      <c r="L96" s="37"/>
      <c r="M96" s="37"/>
      <c r="N96" s="37"/>
      <c r="O96" s="37"/>
    </row>
    <row r="97">
      <c r="L97" s="37"/>
      <c r="M97" s="37"/>
      <c r="N97" s="37"/>
      <c r="O97" s="37"/>
    </row>
    <row r="98">
      <c r="L98" s="37"/>
      <c r="M98" s="37"/>
      <c r="N98" s="37"/>
      <c r="O98" s="37"/>
    </row>
    <row r="99">
      <c r="L99" s="37"/>
      <c r="M99" s="37"/>
      <c r="N99" s="37"/>
      <c r="O99" s="37"/>
    </row>
    <row r="100">
      <c r="L100" s="37"/>
      <c r="M100" s="37"/>
      <c r="N100" s="37"/>
      <c r="O100" s="37"/>
    </row>
    <row r="101">
      <c r="L101" s="37"/>
      <c r="M101" s="37"/>
      <c r="N101" s="37"/>
      <c r="O101" s="37"/>
    </row>
    <row r="102">
      <c r="L102" s="37"/>
      <c r="M102" s="37"/>
      <c r="N102" s="37"/>
      <c r="O102" s="37"/>
    </row>
    <row r="103">
      <c r="L103" s="37"/>
      <c r="M103" s="37"/>
      <c r="N103" s="37"/>
      <c r="O103" s="37"/>
    </row>
    <row r="104">
      <c r="L104" s="37"/>
      <c r="M104" s="37"/>
      <c r="N104" s="37"/>
      <c r="O104" s="37"/>
    </row>
    <row r="105">
      <c r="L105" s="37"/>
      <c r="M105" s="37"/>
      <c r="N105" s="37"/>
      <c r="O105" s="37"/>
    </row>
    <row r="106">
      <c r="L106" s="37"/>
      <c r="M106" s="37"/>
      <c r="N106" s="37"/>
      <c r="O106" s="37"/>
    </row>
    <row r="107">
      <c r="L107" s="37"/>
      <c r="M107" s="37"/>
      <c r="N107" s="37"/>
      <c r="O107" s="37"/>
    </row>
    <row r="108">
      <c r="L108" s="37"/>
      <c r="M108" s="37"/>
      <c r="N108" s="37"/>
      <c r="O108" s="37"/>
    </row>
    <row r="109">
      <c r="L109" s="37"/>
      <c r="M109" s="37"/>
      <c r="N109" s="37"/>
      <c r="O109" s="37"/>
    </row>
    <row r="110">
      <c r="L110" s="37"/>
      <c r="M110" s="37"/>
      <c r="N110" s="37"/>
      <c r="O110" s="37"/>
    </row>
    <row r="111">
      <c r="L111" s="37"/>
      <c r="M111" s="37"/>
      <c r="N111" s="37"/>
      <c r="O111" s="37"/>
    </row>
    <row r="112">
      <c r="L112" s="37"/>
      <c r="M112" s="37"/>
      <c r="N112" s="37"/>
      <c r="O112" s="37"/>
    </row>
    <row r="113">
      <c r="L113" s="37"/>
      <c r="M113" s="37"/>
      <c r="N113" s="37"/>
      <c r="O113" s="37"/>
    </row>
    <row r="114">
      <c r="L114" s="37"/>
      <c r="M114" s="37"/>
      <c r="N114" s="37"/>
      <c r="O114" s="37"/>
    </row>
    <row r="115">
      <c r="L115" s="37"/>
      <c r="M115" s="37"/>
      <c r="N115" s="37"/>
      <c r="O115" s="37"/>
    </row>
    <row r="116">
      <c r="L116" s="37"/>
      <c r="M116" s="37"/>
      <c r="N116" s="37"/>
      <c r="O116" s="37"/>
    </row>
    <row r="117">
      <c r="L117" s="37"/>
      <c r="M117" s="37"/>
      <c r="N117" s="37"/>
      <c r="O117" s="37"/>
    </row>
    <row r="118">
      <c r="L118" s="37"/>
      <c r="M118" s="37"/>
      <c r="N118" s="37"/>
      <c r="O118" s="37"/>
    </row>
    <row r="119">
      <c r="L119" s="37"/>
      <c r="M119" s="37"/>
      <c r="N119" s="37"/>
      <c r="O119" s="37"/>
    </row>
    <row r="120">
      <c r="L120" s="37"/>
      <c r="M120" s="37"/>
      <c r="N120" s="37"/>
      <c r="O120" s="37"/>
    </row>
    <row r="121">
      <c r="L121" s="37"/>
      <c r="M121" s="37"/>
      <c r="N121" s="37"/>
      <c r="O121" s="37"/>
    </row>
    <row r="122">
      <c r="L122" s="37"/>
      <c r="M122" s="37"/>
      <c r="N122" s="37"/>
      <c r="O122" s="37"/>
    </row>
    <row r="123">
      <c r="L123" s="37"/>
      <c r="M123" s="37"/>
      <c r="N123" s="37"/>
      <c r="O123" s="37"/>
    </row>
    <row r="124">
      <c r="L124" s="37"/>
      <c r="M124" s="37"/>
      <c r="N124" s="37"/>
      <c r="O124" s="37"/>
    </row>
    <row r="125">
      <c r="L125" s="37"/>
      <c r="M125" s="37"/>
      <c r="N125" s="37"/>
      <c r="O125" s="37"/>
    </row>
    <row r="126">
      <c r="L126" s="37"/>
      <c r="M126" s="37"/>
      <c r="N126" s="37"/>
      <c r="O126" s="37"/>
    </row>
    <row r="127">
      <c r="L127" s="37"/>
      <c r="M127" s="37"/>
      <c r="N127" s="37"/>
      <c r="O127" s="37"/>
    </row>
    <row r="128">
      <c r="L128" s="37"/>
      <c r="M128" s="37"/>
      <c r="N128" s="37"/>
      <c r="O128" s="37"/>
    </row>
    <row r="129">
      <c r="L129" s="37"/>
      <c r="M129" s="37"/>
      <c r="N129" s="37"/>
      <c r="O129" s="37"/>
    </row>
    <row r="130">
      <c r="L130" s="37"/>
      <c r="M130" s="37"/>
      <c r="N130" s="37"/>
      <c r="O130" s="37"/>
    </row>
    <row r="131">
      <c r="L131" s="37"/>
      <c r="M131" s="37"/>
      <c r="N131" s="37"/>
      <c r="O131" s="37"/>
    </row>
    <row r="132">
      <c r="L132" s="37"/>
      <c r="M132" s="37"/>
      <c r="N132" s="37"/>
      <c r="O132" s="37"/>
    </row>
    <row r="133">
      <c r="L133" s="37"/>
      <c r="M133" s="37"/>
      <c r="N133" s="37"/>
      <c r="O133" s="37"/>
    </row>
    <row r="134">
      <c r="L134" s="37"/>
      <c r="M134" s="37"/>
      <c r="N134" s="37"/>
      <c r="O134" s="37"/>
    </row>
    <row r="135">
      <c r="L135" s="37"/>
      <c r="M135" s="37"/>
      <c r="N135" s="37"/>
      <c r="O135" s="37"/>
    </row>
    <row r="136">
      <c r="L136" s="37"/>
      <c r="M136" s="37"/>
      <c r="N136" s="37"/>
      <c r="O136" s="37"/>
    </row>
    <row r="137">
      <c r="L137" s="37"/>
      <c r="M137" s="37"/>
      <c r="N137" s="37"/>
      <c r="O137" s="37"/>
    </row>
    <row r="138">
      <c r="L138" s="37"/>
      <c r="M138" s="37"/>
      <c r="N138" s="37"/>
      <c r="O138" s="37"/>
    </row>
    <row r="139">
      <c r="L139" s="37"/>
      <c r="M139" s="37"/>
      <c r="N139" s="37"/>
      <c r="O139" s="37"/>
    </row>
    <row r="140">
      <c r="L140" s="37"/>
      <c r="M140" s="37"/>
      <c r="N140" s="37"/>
      <c r="O140" s="37"/>
    </row>
    <row r="141">
      <c r="L141" s="37"/>
      <c r="M141" s="37"/>
      <c r="N141" s="37"/>
      <c r="O141" s="37"/>
    </row>
    <row r="142">
      <c r="L142" s="37"/>
      <c r="M142" s="37"/>
      <c r="N142" s="37"/>
      <c r="O142" s="37"/>
    </row>
    <row r="143">
      <c r="L143" s="37"/>
      <c r="M143" s="37"/>
      <c r="N143" s="37"/>
      <c r="O143" s="37"/>
    </row>
    <row r="144">
      <c r="L144" s="37"/>
      <c r="M144" s="37"/>
      <c r="N144" s="37"/>
      <c r="O144" s="37"/>
    </row>
    <row r="145">
      <c r="L145" s="37"/>
      <c r="M145" s="37"/>
      <c r="N145" s="37"/>
      <c r="O145" s="37"/>
    </row>
    <row r="146">
      <c r="L146" s="37"/>
      <c r="M146" s="37"/>
      <c r="N146" s="37"/>
      <c r="O146" s="37"/>
    </row>
    <row r="147">
      <c r="L147" s="37"/>
      <c r="M147" s="37"/>
      <c r="N147" s="37"/>
      <c r="O147" s="37"/>
    </row>
    <row r="148">
      <c r="L148" s="37"/>
      <c r="M148" s="37"/>
      <c r="N148" s="37"/>
      <c r="O148" s="37"/>
    </row>
    <row r="149">
      <c r="L149" s="37"/>
      <c r="M149" s="37"/>
      <c r="N149" s="37"/>
      <c r="O149" s="37"/>
    </row>
    <row r="150">
      <c r="L150" s="37"/>
      <c r="M150" s="37"/>
      <c r="N150" s="37"/>
      <c r="O150" s="37"/>
    </row>
    <row r="151">
      <c r="L151" s="37"/>
      <c r="M151" s="37"/>
      <c r="N151" s="37"/>
      <c r="O151" s="37"/>
    </row>
    <row r="152">
      <c r="L152" s="37"/>
      <c r="M152" s="37"/>
      <c r="N152" s="37"/>
      <c r="O152" s="37"/>
    </row>
    <row r="153">
      <c r="L153" s="37"/>
      <c r="M153" s="37"/>
      <c r="N153" s="37"/>
      <c r="O153" s="37"/>
    </row>
    <row r="154">
      <c r="L154" s="37"/>
      <c r="M154" s="37"/>
      <c r="N154" s="37"/>
      <c r="O154" s="37"/>
    </row>
    <row r="155">
      <c r="L155" s="37"/>
      <c r="M155" s="37"/>
      <c r="N155" s="37"/>
      <c r="O155" s="37"/>
    </row>
    <row r="156">
      <c r="L156" s="37"/>
      <c r="M156" s="37"/>
      <c r="N156" s="37"/>
      <c r="O156" s="37"/>
    </row>
    <row r="157">
      <c r="L157" s="37"/>
      <c r="M157" s="37"/>
      <c r="N157" s="37"/>
      <c r="O157" s="37"/>
    </row>
    <row r="158">
      <c r="L158" s="37"/>
      <c r="M158" s="37"/>
      <c r="N158" s="37"/>
      <c r="O158" s="37"/>
    </row>
    <row r="159">
      <c r="L159" s="37"/>
      <c r="M159" s="37"/>
      <c r="N159" s="37"/>
      <c r="O159" s="37"/>
    </row>
    <row r="160">
      <c r="L160" s="37"/>
      <c r="M160" s="37"/>
      <c r="N160" s="37"/>
      <c r="O160" s="37"/>
    </row>
    <row r="161">
      <c r="L161" s="37"/>
      <c r="M161" s="37"/>
      <c r="N161" s="37"/>
      <c r="O161" s="37"/>
    </row>
    <row r="162">
      <c r="L162" s="37"/>
      <c r="M162" s="37"/>
      <c r="N162" s="37"/>
      <c r="O162" s="37"/>
    </row>
    <row r="163">
      <c r="L163" s="37"/>
      <c r="M163" s="37"/>
      <c r="N163" s="37"/>
      <c r="O163" s="37"/>
    </row>
    <row r="164">
      <c r="L164" s="37"/>
      <c r="M164" s="37"/>
      <c r="N164" s="37"/>
      <c r="O164" s="37"/>
    </row>
    <row r="165">
      <c r="L165" s="37"/>
      <c r="M165" s="37"/>
      <c r="N165" s="37"/>
      <c r="O165" s="37"/>
    </row>
    <row r="166">
      <c r="L166" s="37"/>
      <c r="M166" s="37"/>
      <c r="N166" s="37"/>
      <c r="O166" s="37"/>
    </row>
    <row r="167">
      <c r="L167" s="37"/>
      <c r="M167" s="37"/>
      <c r="N167" s="37"/>
      <c r="O167" s="37"/>
    </row>
    <row r="168">
      <c r="L168" s="37"/>
      <c r="M168" s="37"/>
      <c r="N168" s="37"/>
      <c r="O168" s="37"/>
    </row>
    <row r="169">
      <c r="L169" s="37"/>
      <c r="M169" s="37"/>
      <c r="N169" s="37"/>
      <c r="O169" s="37"/>
    </row>
    <row r="170">
      <c r="L170" s="37"/>
      <c r="M170" s="37"/>
      <c r="N170" s="37"/>
      <c r="O170" s="37"/>
    </row>
    <row r="171">
      <c r="L171" s="37"/>
      <c r="M171" s="37"/>
      <c r="N171" s="37"/>
      <c r="O171" s="37"/>
    </row>
    <row r="172">
      <c r="L172" s="37"/>
      <c r="M172" s="37"/>
      <c r="N172" s="37"/>
      <c r="O172" s="37"/>
    </row>
    <row r="173">
      <c r="L173" s="37"/>
      <c r="M173" s="37"/>
      <c r="N173" s="37"/>
      <c r="O173" s="37"/>
    </row>
    <row r="174">
      <c r="L174" s="37"/>
      <c r="M174" s="37"/>
      <c r="N174" s="37"/>
      <c r="O174" s="37"/>
    </row>
    <row r="175">
      <c r="L175" s="37"/>
      <c r="M175" s="37"/>
      <c r="N175" s="37"/>
      <c r="O175" s="37"/>
    </row>
    <row r="176">
      <c r="L176" s="37"/>
      <c r="M176" s="37"/>
      <c r="N176" s="37"/>
      <c r="O176" s="37"/>
    </row>
    <row r="177">
      <c r="L177" s="37"/>
      <c r="M177" s="37"/>
      <c r="N177" s="37"/>
      <c r="O177" s="37"/>
    </row>
    <row r="178">
      <c r="L178" s="37"/>
      <c r="M178" s="37"/>
      <c r="N178" s="37"/>
      <c r="O178" s="37"/>
    </row>
    <row r="179">
      <c r="L179" s="37"/>
      <c r="M179" s="37"/>
      <c r="N179" s="37"/>
      <c r="O179" s="37"/>
    </row>
    <row r="180">
      <c r="L180" s="37"/>
      <c r="M180" s="37"/>
      <c r="N180" s="37"/>
      <c r="O180" s="37"/>
    </row>
    <row r="181">
      <c r="L181" s="37"/>
      <c r="M181" s="37"/>
      <c r="N181" s="37"/>
      <c r="O181" s="37"/>
    </row>
    <row r="182">
      <c r="L182" s="37"/>
      <c r="M182" s="37"/>
      <c r="N182" s="37"/>
      <c r="O182" s="37"/>
    </row>
    <row r="183">
      <c r="L183" s="37"/>
      <c r="M183" s="37"/>
      <c r="N183" s="37"/>
      <c r="O183" s="37"/>
    </row>
    <row r="184">
      <c r="L184" s="37"/>
      <c r="M184" s="37"/>
      <c r="N184" s="37"/>
      <c r="O184" s="37"/>
    </row>
    <row r="185">
      <c r="L185" s="37"/>
      <c r="M185" s="37"/>
      <c r="N185" s="37"/>
      <c r="O185" s="37"/>
    </row>
    <row r="186">
      <c r="L186" s="37"/>
      <c r="M186" s="37"/>
      <c r="N186" s="37"/>
      <c r="O186" s="37"/>
    </row>
    <row r="187">
      <c r="L187" s="37"/>
      <c r="M187" s="37"/>
      <c r="N187" s="37"/>
      <c r="O187" s="37"/>
    </row>
    <row r="188">
      <c r="L188" s="37"/>
      <c r="M188" s="37"/>
      <c r="N188" s="37"/>
      <c r="O188" s="37"/>
    </row>
    <row r="189">
      <c r="L189" s="37"/>
      <c r="M189" s="37"/>
      <c r="N189" s="37"/>
      <c r="O189" s="37"/>
    </row>
    <row r="190">
      <c r="L190" s="37"/>
      <c r="M190" s="37"/>
      <c r="N190" s="37"/>
      <c r="O190" s="37"/>
    </row>
    <row r="191">
      <c r="L191" s="37"/>
      <c r="M191" s="37"/>
      <c r="N191" s="37"/>
      <c r="O191" s="37"/>
    </row>
    <row r="192">
      <c r="L192" s="37"/>
      <c r="M192" s="37"/>
      <c r="N192" s="37"/>
      <c r="O192" s="37"/>
    </row>
    <row r="193">
      <c r="L193" s="37"/>
      <c r="M193" s="37"/>
      <c r="N193" s="37"/>
      <c r="O193" s="37"/>
    </row>
    <row r="194">
      <c r="L194" s="37"/>
      <c r="M194" s="37"/>
      <c r="N194" s="37"/>
      <c r="O194" s="37"/>
    </row>
    <row r="195">
      <c r="L195" s="37"/>
      <c r="M195" s="37"/>
      <c r="N195" s="37"/>
      <c r="O195" s="37"/>
    </row>
    <row r="196">
      <c r="L196" s="37"/>
      <c r="M196" s="37"/>
      <c r="N196" s="37"/>
      <c r="O196" s="37"/>
    </row>
    <row r="197">
      <c r="L197" s="37"/>
      <c r="M197" s="37"/>
      <c r="N197" s="37"/>
      <c r="O197" s="37"/>
    </row>
    <row r="198">
      <c r="L198" s="37"/>
      <c r="M198" s="37"/>
      <c r="N198" s="37"/>
      <c r="O198" s="37"/>
    </row>
    <row r="199">
      <c r="L199" s="37"/>
      <c r="M199" s="37"/>
      <c r="N199" s="37"/>
      <c r="O199" s="37"/>
    </row>
    <row r="200">
      <c r="L200" s="37"/>
      <c r="M200" s="37"/>
      <c r="N200" s="37"/>
      <c r="O200" s="37"/>
    </row>
    <row r="201">
      <c r="L201" s="37"/>
      <c r="M201" s="37"/>
      <c r="N201" s="37"/>
      <c r="O201" s="37"/>
    </row>
    <row r="202">
      <c r="L202" s="37"/>
      <c r="M202" s="37"/>
      <c r="N202" s="37"/>
      <c r="O202" s="37"/>
    </row>
    <row r="203">
      <c r="L203" s="37"/>
      <c r="M203" s="37"/>
      <c r="N203" s="37"/>
      <c r="O203" s="37"/>
    </row>
    <row r="204">
      <c r="L204" s="37"/>
      <c r="M204" s="37"/>
      <c r="N204" s="37"/>
      <c r="O204" s="37"/>
    </row>
    <row r="205">
      <c r="L205" s="37"/>
      <c r="M205" s="37"/>
      <c r="N205" s="37"/>
      <c r="O205" s="37"/>
    </row>
    <row r="206">
      <c r="L206" s="37"/>
      <c r="M206" s="37"/>
      <c r="N206" s="37"/>
      <c r="O206" s="37"/>
    </row>
    <row r="207">
      <c r="L207" s="37"/>
      <c r="M207" s="37"/>
      <c r="N207" s="37"/>
      <c r="O207" s="37"/>
    </row>
    <row r="208">
      <c r="L208" s="37"/>
      <c r="M208" s="37"/>
      <c r="N208" s="37"/>
      <c r="O208" s="37"/>
    </row>
    <row r="209">
      <c r="L209" s="37"/>
      <c r="M209" s="37"/>
      <c r="N209" s="37"/>
      <c r="O209" s="37"/>
    </row>
    <row r="210">
      <c r="L210" s="37"/>
      <c r="M210" s="37"/>
      <c r="N210" s="37"/>
      <c r="O210" s="37"/>
    </row>
    <row r="211">
      <c r="L211" s="37"/>
      <c r="M211" s="37"/>
      <c r="N211" s="37"/>
      <c r="O211" s="37"/>
    </row>
    <row r="212">
      <c r="L212" s="37"/>
      <c r="M212" s="37"/>
      <c r="N212" s="37"/>
      <c r="O212" s="37"/>
    </row>
    <row r="213">
      <c r="L213" s="37"/>
      <c r="M213" s="37"/>
      <c r="N213" s="37"/>
      <c r="O213" s="37"/>
    </row>
    <row r="214">
      <c r="L214" s="37"/>
      <c r="M214" s="37"/>
      <c r="N214" s="37"/>
      <c r="O214" s="37"/>
    </row>
    <row r="215">
      <c r="L215" s="37"/>
      <c r="M215" s="37"/>
      <c r="N215" s="37"/>
      <c r="O215" s="37"/>
    </row>
    <row r="216">
      <c r="L216" s="37"/>
      <c r="M216" s="37"/>
      <c r="N216" s="37"/>
      <c r="O216" s="37"/>
    </row>
    <row r="217">
      <c r="L217" s="37"/>
      <c r="M217" s="37"/>
      <c r="N217" s="37"/>
      <c r="O217" s="37"/>
    </row>
    <row r="218">
      <c r="L218" s="37"/>
      <c r="M218" s="37"/>
      <c r="N218" s="37"/>
      <c r="O218" s="37"/>
    </row>
    <row r="219">
      <c r="L219" s="37"/>
      <c r="M219" s="37"/>
      <c r="N219" s="37"/>
      <c r="O219" s="37"/>
    </row>
    <row r="220">
      <c r="L220" s="37"/>
      <c r="M220" s="37"/>
      <c r="N220" s="37"/>
      <c r="O220" s="37"/>
    </row>
    <row r="221">
      <c r="L221" s="37"/>
      <c r="M221" s="37"/>
      <c r="N221" s="37"/>
      <c r="O221" s="37"/>
    </row>
    <row r="222">
      <c r="L222" s="37"/>
      <c r="M222" s="37"/>
      <c r="N222" s="37"/>
      <c r="O222" s="37"/>
    </row>
    <row r="223">
      <c r="L223" s="37"/>
      <c r="M223" s="37"/>
      <c r="N223" s="37"/>
      <c r="O223" s="37"/>
    </row>
    <row r="224">
      <c r="L224" s="37"/>
      <c r="M224" s="37"/>
      <c r="N224" s="37"/>
      <c r="O224" s="37"/>
    </row>
    <row r="225">
      <c r="L225" s="37"/>
      <c r="M225" s="37"/>
      <c r="N225" s="37"/>
      <c r="O225" s="37"/>
    </row>
    <row r="226">
      <c r="L226" s="37"/>
      <c r="M226" s="37"/>
      <c r="N226" s="37"/>
      <c r="O226" s="37"/>
    </row>
    <row r="227">
      <c r="L227" s="37"/>
      <c r="M227" s="37"/>
      <c r="N227" s="37"/>
      <c r="O227" s="37"/>
    </row>
    <row r="228">
      <c r="L228" s="37"/>
      <c r="M228" s="37"/>
      <c r="N228" s="37"/>
      <c r="O228" s="37"/>
    </row>
    <row r="229">
      <c r="L229" s="37"/>
      <c r="M229" s="37"/>
      <c r="N229" s="37"/>
      <c r="O229" s="37"/>
    </row>
    <row r="230">
      <c r="L230" s="37"/>
      <c r="M230" s="37"/>
      <c r="N230" s="37"/>
      <c r="O230" s="37"/>
    </row>
    <row r="231">
      <c r="L231" s="37"/>
      <c r="M231" s="37"/>
      <c r="N231" s="37"/>
      <c r="O231" s="37"/>
    </row>
    <row r="232">
      <c r="L232" s="37"/>
      <c r="M232" s="37"/>
      <c r="N232" s="37"/>
      <c r="O232" s="37"/>
    </row>
    <row r="233">
      <c r="L233" s="37"/>
      <c r="M233" s="37"/>
      <c r="N233" s="37"/>
      <c r="O233" s="37"/>
    </row>
    <row r="234">
      <c r="L234" s="37"/>
      <c r="M234" s="37"/>
      <c r="N234" s="37"/>
      <c r="O234" s="37"/>
    </row>
    <row r="235">
      <c r="L235" s="37"/>
      <c r="M235" s="37"/>
      <c r="N235" s="37"/>
      <c r="O235" s="37"/>
    </row>
    <row r="236">
      <c r="L236" s="37"/>
      <c r="M236" s="37"/>
      <c r="N236" s="37"/>
      <c r="O236" s="37"/>
    </row>
    <row r="237">
      <c r="L237" s="37"/>
      <c r="M237" s="37"/>
      <c r="N237" s="37"/>
      <c r="O237" s="37"/>
    </row>
    <row r="238">
      <c r="L238" s="37"/>
      <c r="M238" s="37"/>
      <c r="N238" s="37"/>
      <c r="O238" s="37"/>
    </row>
    <row r="239">
      <c r="L239" s="37"/>
      <c r="M239" s="37"/>
      <c r="N239" s="37"/>
      <c r="O239" s="37"/>
    </row>
    <row r="240">
      <c r="L240" s="37"/>
      <c r="M240" s="37"/>
      <c r="N240" s="37"/>
      <c r="O240" s="37"/>
    </row>
    <row r="241">
      <c r="L241" s="37"/>
      <c r="M241" s="37"/>
      <c r="N241" s="37"/>
      <c r="O241" s="37"/>
    </row>
    <row r="242">
      <c r="L242" s="37"/>
      <c r="M242" s="37"/>
      <c r="N242" s="37"/>
      <c r="O242" s="37"/>
    </row>
    <row r="243">
      <c r="L243" s="37"/>
      <c r="M243" s="37"/>
      <c r="N243" s="37"/>
      <c r="O243" s="37"/>
    </row>
    <row r="244">
      <c r="L244" s="37"/>
      <c r="M244" s="37"/>
      <c r="N244" s="37"/>
      <c r="O244" s="37"/>
    </row>
    <row r="245">
      <c r="L245" s="37"/>
      <c r="M245" s="37"/>
      <c r="N245" s="37"/>
      <c r="O245" s="37"/>
    </row>
    <row r="246">
      <c r="L246" s="37"/>
      <c r="M246" s="37"/>
      <c r="N246" s="37"/>
      <c r="O246" s="37"/>
    </row>
    <row r="247">
      <c r="L247" s="37"/>
      <c r="M247" s="37"/>
      <c r="N247" s="37"/>
      <c r="O247" s="37"/>
    </row>
    <row r="248">
      <c r="L248" s="37"/>
      <c r="M248" s="37"/>
      <c r="N248" s="37"/>
      <c r="O248" s="37"/>
    </row>
    <row r="249">
      <c r="L249" s="37"/>
      <c r="M249" s="37"/>
      <c r="N249" s="37"/>
      <c r="O249" s="37"/>
    </row>
    <row r="250">
      <c r="L250" s="37"/>
      <c r="M250" s="37"/>
      <c r="N250" s="37"/>
      <c r="O250" s="37"/>
    </row>
    <row r="251">
      <c r="L251" s="37"/>
      <c r="M251" s="37"/>
      <c r="N251" s="37"/>
      <c r="O251" s="37"/>
    </row>
    <row r="252">
      <c r="L252" s="37"/>
      <c r="M252" s="37"/>
      <c r="N252" s="37"/>
      <c r="O252" s="37"/>
    </row>
    <row r="253">
      <c r="L253" s="37"/>
      <c r="M253" s="37"/>
      <c r="N253" s="37"/>
      <c r="O253" s="37"/>
    </row>
    <row r="254">
      <c r="L254" s="37"/>
      <c r="M254" s="37"/>
      <c r="N254" s="37"/>
      <c r="O254" s="37"/>
    </row>
    <row r="255">
      <c r="L255" s="37"/>
      <c r="M255" s="37"/>
      <c r="N255" s="37"/>
      <c r="O255" s="37"/>
    </row>
    <row r="256">
      <c r="L256" s="37"/>
      <c r="M256" s="37"/>
      <c r="N256" s="37"/>
      <c r="O256" s="37"/>
    </row>
    <row r="257">
      <c r="L257" s="37"/>
      <c r="M257" s="37"/>
      <c r="N257" s="37"/>
      <c r="O257" s="37"/>
    </row>
    <row r="258">
      <c r="L258" s="37"/>
      <c r="M258" s="37"/>
      <c r="N258" s="37"/>
      <c r="O258" s="37"/>
    </row>
    <row r="259">
      <c r="L259" s="37"/>
      <c r="M259" s="37"/>
      <c r="N259" s="37"/>
      <c r="O259" s="37"/>
    </row>
    <row r="260">
      <c r="L260" s="37"/>
      <c r="M260" s="37"/>
      <c r="N260" s="37"/>
      <c r="O260" s="37"/>
    </row>
    <row r="261">
      <c r="L261" s="37"/>
      <c r="M261" s="37"/>
      <c r="N261" s="37"/>
      <c r="O261" s="37"/>
    </row>
    <row r="262">
      <c r="L262" s="37"/>
      <c r="M262" s="37"/>
      <c r="N262" s="37"/>
      <c r="O262" s="37"/>
    </row>
    <row r="263">
      <c r="L263" s="37"/>
      <c r="M263" s="37"/>
      <c r="N263" s="37"/>
      <c r="O263" s="37"/>
    </row>
    <row r="264">
      <c r="L264" s="37"/>
      <c r="M264" s="37"/>
      <c r="N264" s="37"/>
      <c r="O264" s="37"/>
    </row>
    <row r="265">
      <c r="L265" s="37"/>
      <c r="M265" s="37"/>
      <c r="N265" s="37"/>
      <c r="O265" s="37"/>
    </row>
    <row r="266">
      <c r="L266" s="37"/>
      <c r="M266" s="37"/>
      <c r="N266" s="37"/>
      <c r="O266" s="37"/>
    </row>
    <row r="267">
      <c r="L267" s="37"/>
      <c r="M267" s="37"/>
      <c r="N267" s="37"/>
      <c r="O267" s="37"/>
    </row>
    <row r="268">
      <c r="L268" s="37"/>
      <c r="M268" s="37"/>
      <c r="N268" s="37"/>
      <c r="O268" s="37"/>
    </row>
    <row r="269">
      <c r="L269" s="37"/>
      <c r="M269" s="37"/>
      <c r="N269" s="37"/>
      <c r="O269" s="37"/>
    </row>
    <row r="270">
      <c r="L270" s="37"/>
      <c r="M270" s="37"/>
      <c r="N270" s="37"/>
      <c r="O270" s="37"/>
    </row>
    <row r="271">
      <c r="L271" s="37"/>
      <c r="M271" s="37"/>
      <c r="N271" s="37"/>
      <c r="O271" s="37"/>
    </row>
    <row r="272">
      <c r="L272" s="37"/>
      <c r="M272" s="37"/>
      <c r="N272" s="37"/>
      <c r="O272" s="37"/>
    </row>
    <row r="273">
      <c r="L273" s="37"/>
      <c r="M273" s="37"/>
      <c r="N273" s="37"/>
      <c r="O273" s="37"/>
    </row>
    <row r="274">
      <c r="L274" s="37"/>
      <c r="M274" s="37"/>
      <c r="N274" s="37"/>
      <c r="O274" s="37"/>
    </row>
    <row r="275">
      <c r="L275" s="37"/>
      <c r="M275" s="37"/>
      <c r="N275" s="37"/>
      <c r="O275" s="37"/>
    </row>
    <row r="276">
      <c r="L276" s="37"/>
      <c r="M276" s="37"/>
      <c r="N276" s="37"/>
      <c r="O276" s="37"/>
    </row>
    <row r="277">
      <c r="L277" s="37"/>
      <c r="M277" s="37"/>
      <c r="N277" s="37"/>
      <c r="O277" s="37"/>
    </row>
    <row r="278">
      <c r="L278" s="37"/>
      <c r="M278" s="37"/>
      <c r="N278" s="37"/>
      <c r="O278" s="37"/>
    </row>
    <row r="279">
      <c r="L279" s="37"/>
      <c r="M279" s="37"/>
      <c r="N279" s="37"/>
      <c r="O279" s="37"/>
    </row>
    <row r="280">
      <c r="L280" s="37"/>
      <c r="M280" s="37"/>
      <c r="N280" s="37"/>
      <c r="O280" s="37"/>
    </row>
    <row r="281">
      <c r="L281" s="37"/>
      <c r="M281" s="37"/>
      <c r="N281" s="37"/>
      <c r="O281" s="37"/>
    </row>
    <row r="282">
      <c r="L282" s="37"/>
      <c r="M282" s="37"/>
      <c r="N282" s="37"/>
      <c r="O282" s="37"/>
    </row>
    <row r="283">
      <c r="L283" s="37"/>
      <c r="M283" s="37"/>
      <c r="N283" s="37"/>
      <c r="O283" s="37"/>
    </row>
    <row r="284">
      <c r="L284" s="37"/>
      <c r="M284" s="37"/>
      <c r="N284" s="37"/>
      <c r="O284" s="37"/>
    </row>
    <row r="285">
      <c r="L285" s="37"/>
      <c r="M285" s="37"/>
      <c r="N285" s="37"/>
      <c r="O285" s="37"/>
    </row>
    <row r="286">
      <c r="L286" s="37"/>
      <c r="M286" s="37"/>
      <c r="N286" s="37"/>
      <c r="O286" s="37"/>
    </row>
    <row r="287">
      <c r="L287" s="37"/>
      <c r="M287" s="37"/>
      <c r="N287" s="37"/>
      <c r="O287" s="37"/>
    </row>
    <row r="288">
      <c r="L288" s="37"/>
      <c r="M288" s="37"/>
      <c r="N288" s="37"/>
      <c r="O288" s="37"/>
    </row>
    <row r="289">
      <c r="L289" s="37"/>
      <c r="M289" s="37"/>
      <c r="N289" s="37"/>
      <c r="O289" s="37"/>
    </row>
    <row r="290">
      <c r="L290" s="37"/>
      <c r="M290" s="37"/>
      <c r="N290" s="37"/>
      <c r="O290" s="37"/>
    </row>
    <row r="291">
      <c r="L291" s="37"/>
      <c r="M291" s="37"/>
      <c r="N291" s="37"/>
      <c r="O291" s="37"/>
    </row>
    <row r="292">
      <c r="L292" s="37"/>
      <c r="M292" s="37"/>
      <c r="N292" s="37"/>
      <c r="O292" s="37"/>
    </row>
    <row r="293">
      <c r="L293" s="37"/>
      <c r="M293" s="37"/>
      <c r="N293" s="37"/>
      <c r="O293" s="37"/>
    </row>
    <row r="294">
      <c r="L294" s="37"/>
      <c r="M294" s="37"/>
      <c r="N294" s="37"/>
      <c r="O294" s="37"/>
    </row>
    <row r="295">
      <c r="L295" s="37"/>
      <c r="M295" s="37"/>
      <c r="N295" s="37"/>
      <c r="O295" s="37"/>
    </row>
    <row r="296">
      <c r="L296" s="37"/>
      <c r="M296" s="37"/>
      <c r="N296" s="37"/>
      <c r="O296" s="37"/>
    </row>
    <row r="297">
      <c r="L297" s="37"/>
      <c r="M297" s="37"/>
      <c r="N297" s="37"/>
      <c r="O297" s="37"/>
    </row>
    <row r="298">
      <c r="L298" s="37"/>
      <c r="M298" s="37"/>
      <c r="N298" s="37"/>
      <c r="O298" s="37"/>
    </row>
    <row r="299">
      <c r="L299" s="37"/>
      <c r="M299" s="37"/>
      <c r="N299" s="37"/>
      <c r="O299" s="37"/>
    </row>
    <row r="300">
      <c r="L300" s="37"/>
      <c r="M300" s="37"/>
      <c r="N300" s="37"/>
      <c r="O300" s="37"/>
    </row>
    <row r="301">
      <c r="L301" s="37"/>
      <c r="M301" s="37"/>
      <c r="N301" s="37"/>
      <c r="O301" s="37"/>
    </row>
    <row r="302">
      <c r="L302" s="37"/>
      <c r="M302" s="37"/>
      <c r="N302" s="37"/>
      <c r="O302" s="37"/>
    </row>
    <row r="303">
      <c r="L303" s="37"/>
      <c r="M303" s="37"/>
      <c r="N303" s="37"/>
      <c r="O303" s="37"/>
    </row>
    <row r="304">
      <c r="L304" s="37"/>
      <c r="M304" s="37"/>
      <c r="N304" s="37"/>
      <c r="O304" s="37"/>
    </row>
    <row r="305">
      <c r="L305" s="37"/>
      <c r="M305" s="37"/>
      <c r="N305" s="37"/>
      <c r="O305" s="37"/>
    </row>
    <row r="306">
      <c r="L306" s="37"/>
      <c r="M306" s="37"/>
      <c r="N306" s="37"/>
      <c r="O306" s="37"/>
    </row>
    <row r="307">
      <c r="L307" s="37"/>
      <c r="M307" s="37"/>
      <c r="N307" s="37"/>
      <c r="O307" s="37"/>
    </row>
    <row r="308">
      <c r="L308" s="37"/>
      <c r="M308" s="37"/>
      <c r="N308" s="37"/>
      <c r="O308" s="37"/>
    </row>
    <row r="309">
      <c r="L309" s="37"/>
      <c r="M309" s="37"/>
      <c r="N309" s="37"/>
      <c r="O309" s="37"/>
    </row>
    <row r="310">
      <c r="L310" s="37"/>
      <c r="M310" s="37"/>
      <c r="N310" s="37"/>
      <c r="O310" s="37"/>
    </row>
    <row r="311">
      <c r="L311" s="37"/>
      <c r="M311" s="37"/>
      <c r="N311" s="37"/>
      <c r="O311" s="37"/>
    </row>
    <row r="312">
      <c r="L312" s="37"/>
      <c r="M312" s="37"/>
      <c r="N312" s="37"/>
      <c r="O312" s="37"/>
    </row>
    <row r="313">
      <c r="L313" s="37"/>
      <c r="M313" s="37"/>
      <c r="N313" s="37"/>
      <c r="O313" s="37"/>
    </row>
    <row r="314">
      <c r="L314" s="37"/>
      <c r="M314" s="37"/>
      <c r="N314" s="37"/>
      <c r="O314" s="37"/>
    </row>
    <row r="315">
      <c r="L315" s="37"/>
      <c r="M315" s="37"/>
      <c r="N315" s="37"/>
      <c r="O315" s="37"/>
    </row>
    <row r="316">
      <c r="L316" s="37"/>
      <c r="M316" s="37"/>
      <c r="N316" s="37"/>
      <c r="O316" s="37"/>
    </row>
    <row r="317">
      <c r="L317" s="37"/>
      <c r="M317" s="37"/>
      <c r="N317" s="37"/>
      <c r="O317" s="37"/>
    </row>
    <row r="318">
      <c r="L318" s="37"/>
      <c r="M318" s="37"/>
      <c r="N318" s="37"/>
      <c r="O318" s="37"/>
    </row>
    <row r="319">
      <c r="L319" s="37"/>
      <c r="M319" s="37"/>
      <c r="N319" s="37"/>
      <c r="O319" s="37"/>
    </row>
    <row r="320">
      <c r="L320" s="37"/>
      <c r="M320" s="37"/>
      <c r="N320" s="37"/>
      <c r="O320" s="37"/>
    </row>
    <row r="321">
      <c r="L321" s="37"/>
      <c r="M321" s="37"/>
      <c r="N321" s="37"/>
      <c r="O321" s="37"/>
    </row>
    <row r="322">
      <c r="L322" s="37"/>
      <c r="M322" s="37"/>
      <c r="N322" s="37"/>
      <c r="O322" s="37"/>
    </row>
    <row r="323">
      <c r="L323" s="37"/>
      <c r="M323" s="37"/>
      <c r="N323" s="37"/>
      <c r="O323" s="37"/>
    </row>
    <row r="324">
      <c r="L324" s="37"/>
      <c r="M324" s="37"/>
      <c r="N324" s="37"/>
      <c r="O324" s="37"/>
    </row>
    <row r="325">
      <c r="L325" s="37"/>
      <c r="M325" s="37"/>
      <c r="N325" s="37"/>
      <c r="O325" s="37"/>
    </row>
    <row r="326">
      <c r="L326" s="37"/>
      <c r="M326" s="37"/>
      <c r="N326" s="37"/>
      <c r="O326" s="37"/>
    </row>
    <row r="327">
      <c r="L327" s="37"/>
      <c r="M327" s="37"/>
      <c r="N327" s="37"/>
      <c r="O327" s="37"/>
    </row>
    <row r="328">
      <c r="L328" s="37"/>
      <c r="M328" s="37"/>
      <c r="N328" s="37"/>
      <c r="O328" s="37"/>
    </row>
    <row r="329">
      <c r="L329" s="37"/>
      <c r="M329" s="37"/>
      <c r="N329" s="37"/>
      <c r="O329" s="37"/>
    </row>
    <row r="330">
      <c r="L330" s="37"/>
      <c r="M330" s="37"/>
      <c r="N330" s="37"/>
      <c r="O330" s="37"/>
    </row>
    <row r="331">
      <c r="L331" s="37"/>
      <c r="M331" s="37"/>
      <c r="N331" s="37"/>
      <c r="O331" s="37"/>
    </row>
    <row r="332">
      <c r="L332" s="37"/>
      <c r="M332" s="37"/>
      <c r="N332" s="37"/>
      <c r="O332" s="37"/>
    </row>
    <row r="333">
      <c r="L333" s="37"/>
      <c r="M333" s="37"/>
      <c r="N333" s="37"/>
      <c r="O333" s="37"/>
    </row>
    <row r="334">
      <c r="L334" s="37"/>
      <c r="M334" s="37"/>
      <c r="N334" s="37"/>
      <c r="O334" s="37"/>
    </row>
    <row r="335">
      <c r="L335" s="37"/>
      <c r="M335" s="37"/>
      <c r="N335" s="37"/>
      <c r="O335" s="37"/>
    </row>
    <row r="336">
      <c r="L336" s="37"/>
      <c r="M336" s="37"/>
      <c r="N336" s="37"/>
      <c r="O336" s="37"/>
    </row>
    <row r="337">
      <c r="L337" s="37"/>
      <c r="M337" s="37"/>
      <c r="N337" s="37"/>
      <c r="O337" s="37"/>
    </row>
    <row r="338">
      <c r="L338" s="37"/>
      <c r="M338" s="37"/>
      <c r="N338" s="37"/>
      <c r="O338" s="37"/>
    </row>
    <row r="339">
      <c r="L339" s="37"/>
      <c r="M339" s="37"/>
      <c r="N339" s="37"/>
      <c r="O339" s="37"/>
    </row>
    <row r="340">
      <c r="L340" s="37"/>
      <c r="M340" s="37"/>
      <c r="N340" s="37"/>
      <c r="O340" s="37"/>
    </row>
    <row r="341">
      <c r="L341" s="37"/>
      <c r="M341" s="37"/>
      <c r="N341" s="37"/>
      <c r="O341" s="37"/>
    </row>
    <row r="342">
      <c r="L342" s="37"/>
      <c r="M342" s="37"/>
      <c r="N342" s="37"/>
      <c r="O342" s="37"/>
    </row>
    <row r="343">
      <c r="L343" s="37"/>
      <c r="M343" s="37"/>
      <c r="N343" s="37"/>
      <c r="O343" s="37"/>
    </row>
    <row r="344">
      <c r="L344" s="37"/>
      <c r="M344" s="37"/>
      <c r="N344" s="37"/>
      <c r="O344" s="37"/>
    </row>
    <row r="345">
      <c r="L345" s="37"/>
      <c r="M345" s="37"/>
      <c r="N345" s="37"/>
      <c r="O345" s="37"/>
    </row>
    <row r="346">
      <c r="L346" s="37"/>
      <c r="M346" s="37"/>
      <c r="N346" s="37"/>
      <c r="O346" s="37"/>
    </row>
    <row r="347">
      <c r="L347" s="37"/>
      <c r="M347" s="37"/>
      <c r="N347" s="37"/>
      <c r="O347" s="37"/>
    </row>
    <row r="348">
      <c r="L348" s="37"/>
      <c r="M348" s="37"/>
      <c r="N348" s="37"/>
      <c r="O348" s="37"/>
    </row>
    <row r="349">
      <c r="L349" s="37"/>
      <c r="M349" s="37"/>
      <c r="N349" s="37"/>
      <c r="O349" s="37"/>
    </row>
    <row r="350">
      <c r="L350" s="37"/>
      <c r="M350" s="37"/>
      <c r="N350" s="37"/>
      <c r="O350" s="37"/>
    </row>
    <row r="351">
      <c r="L351" s="37"/>
      <c r="M351" s="37"/>
      <c r="N351" s="37"/>
      <c r="O351" s="37"/>
    </row>
    <row r="352">
      <c r="L352" s="37"/>
      <c r="M352" s="37"/>
      <c r="N352" s="37"/>
      <c r="O352" s="37"/>
    </row>
    <row r="353">
      <c r="L353" s="37"/>
      <c r="M353" s="37"/>
      <c r="N353" s="37"/>
      <c r="O353" s="37"/>
    </row>
    <row r="354">
      <c r="L354" s="37"/>
      <c r="M354" s="37"/>
      <c r="N354" s="37"/>
      <c r="O354" s="37"/>
    </row>
    <row r="355">
      <c r="L355" s="37"/>
      <c r="M355" s="37"/>
      <c r="N355" s="37"/>
      <c r="O355" s="37"/>
    </row>
    <row r="356">
      <c r="L356" s="37"/>
      <c r="M356" s="37"/>
      <c r="N356" s="37"/>
      <c r="O356" s="37"/>
    </row>
    <row r="357">
      <c r="L357" s="37"/>
      <c r="M357" s="37"/>
      <c r="N357" s="37"/>
      <c r="O357" s="37"/>
    </row>
    <row r="358">
      <c r="L358" s="37"/>
      <c r="M358" s="37"/>
      <c r="N358" s="37"/>
      <c r="O358" s="37"/>
    </row>
    <row r="359">
      <c r="L359" s="37"/>
      <c r="M359" s="37"/>
      <c r="N359" s="37"/>
      <c r="O359" s="37"/>
    </row>
    <row r="360">
      <c r="L360" s="37"/>
      <c r="M360" s="37"/>
      <c r="N360" s="37"/>
      <c r="O360" s="37"/>
    </row>
    <row r="361">
      <c r="L361" s="37"/>
      <c r="M361" s="37"/>
      <c r="N361" s="37"/>
      <c r="O361" s="37"/>
    </row>
    <row r="362">
      <c r="L362" s="37"/>
      <c r="M362" s="37"/>
      <c r="N362" s="37"/>
      <c r="O362" s="37"/>
    </row>
    <row r="363">
      <c r="L363" s="37"/>
      <c r="M363" s="37"/>
      <c r="N363" s="37"/>
      <c r="O363" s="37"/>
    </row>
    <row r="364">
      <c r="L364" s="37"/>
      <c r="M364" s="37"/>
      <c r="N364" s="37"/>
      <c r="O364" s="37"/>
    </row>
    <row r="365">
      <c r="L365" s="37"/>
      <c r="M365" s="37"/>
      <c r="N365" s="37"/>
      <c r="O365" s="37"/>
    </row>
    <row r="366">
      <c r="L366" s="37"/>
      <c r="M366" s="37"/>
      <c r="N366" s="37"/>
      <c r="O366" s="37"/>
    </row>
    <row r="367">
      <c r="L367" s="37"/>
      <c r="M367" s="37"/>
      <c r="N367" s="37"/>
      <c r="O367" s="37"/>
    </row>
    <row r="368">
      <c r="L368" s="37"/>
      <c r="M368" s="37"/>
      <c r="N368" s="37"/>
      <c r="O368" s="37"/>
    </row>
    <row r="369">
      <c r="L369" s="37"/>
      <c r="M369" s="37"/>
      <c r="N369" s="37"/>
      <c r="O369" s="37"/>
    </row>
    <row r="370">
      <c r="L370" s="37"/>
      <c r="M370" s="37"/>
      <c r="N370" s="37"/>
      <c r="O370" s="37"/>
    </row>
    <row r="371">
      <c r="L371" s="37"/>
      <c r="M371" s="37"/>
      <c r="N371" s="37"/>
      <c r="O371" s="37"/>
    </row>
    <row r="372">
      <c r="L372" s="37"/>
      <c r="M372" s="37"/>
      <c r="N372" s="37"/>
      <c r="O372" s="37"/>
    </row>
    <row r="373">
      <c r="L373" s="37"/>
      <c r="M373" s="37"/>
      <c r="N373" s="37"/>
      <c r="O373" s="37"/>
    </row>
    <row r="374">
      <c r="L374" s="37"/>
      <c r="M374" s="37"/>
      <c r="N374" s="37"/>
      <c r="O374" s="37"/>
    </row>
    <row r="375">
      <c r="L375" s="37"/>
      <c r="M375" s="37"/>
      <c r="N375" s="37"/>
      <c r="O375" s="37"/>
    </row>
    <row r="376">
      <c r="L376" s="37"/>
      <c r="M376" s="37"/>
      <c r="N376" s="37"/>
      <c r="O376" s="37"/>
    </row>
    <row r="377">
      <c r="L377" s="37"/>
      <c r="M377" s="37"/>
      <c r="N377" s="37"/>
      <c r="O377" s="37"/>
    </row>
    <row r="378">
      <c r="L378" s="37"/>
      <c r="M378" s="37"/>
      <c r="N378" s="37"/>
      <c r="O378" s="37"/>
    </row>
    <row r="379">
      <c r="L379" s="37"/>
      <c r="M379" s="37"/>
      <c r="N379" s="37"/>
      <c r="O379" s="37"/>
    </row>
    <row r="380">
      <c r="L380" s="37"/>
      <c r="M380" s="37"/>
      <c r="N380" s="37"/>
      <c r="O380" s="37"/>
    </row>
    <row r="381">
      <c r="L381" s="37"/>
      <c r="M381" s="37"/>
      <c r="N381" s="37"/>
      <c r="O381" s="37"/>
    </row>
    <row r="382">
      <c r="L382" s="37"/>
      <c r="M382" s="37"/>
      <c r="N382" s="37"/>
      <c r="O382" s="37"/>
    </row>
    <row r="383">
      <c r="L383" s="37"/>
      <c r="M383" s="37"/>
      <c r="N383" s="37"/>
      <c r="O383" s="37"/>
    </row>
    <row r="384">
      <c r="L384" s="37"/>
      <c r="M384" s="37"/>
      <c r="N384" s="37"/>
      <c r="O384" s="37"/>
    </row>
    <row r="385">
      <c r="L385" s="37"/>
      <c r="M385" s="37"/>
      <c r="N385" s="37"/>
      <c r="O385" s="37"/>
    </row>
    <row r="386">
      <c r="L386" s="37"/>
      <c r="M386" s="37"/>
      <c r="N386" s="37"/>
      <c r="O386" s="37"/>
    </row>
    <row r="387">
      <c r="L387" s="37"/>
      <c r="M387" s="37"/>
      <c r="N387" s="37"/>
      <c r="O387" s="37"/>
    </row>
    <row r="388">
      <c r="L388" s="37"/>
      <c r="M388" s="37"/>
      <c r="N388" s="37"/>
      <c r="O388" s="37"/>
    </row>
    <row r="389">
      <c r="L389" s="37"/>
      <c r="M389" s="37"/>
      <c r="N389" s="37"/>
      <c r="O389" s="37"/>
    </row>
    <row r="390">
      <c r="L390" s="37"/>
      <c r="M390" s="37"/>
      <c r="N390" s="37"/>
      <c r="O390" s="37"/>
    </row>
    <row r="391">
      <c r="L391" s="37"/>
      <c r="M391" s="37"/>
      <c r="N391" s="37"/>
      <c r="O391" s="37"/>
    </row>
    <row r="392">
      <c r="L392" s="37"/>
      <c r="M392" s="37"/>
      <c r="N392" s="37"/>
      <c r="O392" s="37"/>
    </row>
    <row r="393">
      <c r="L393" s="37"/>
      <c r="M393" s="37"/>
      <c r="N393" s="37"/>
      <c r="O393" s="37"/>
    </row>
    <row r="394">
      <c r="L394" s="37"/>
      <c r="M394" s="37"/>
      <c r="N394" s="37"/>
      <c r="O394" s="37"/>
    </row>
    <row r="395">
      <c r="L395" s="37"/>
      <c r="M395" s="37"/>
      <c r="N395" s="37"/>
      <c r="O395" s="37"/>
    </row>
    <row r="396">
      <c r="L396" s="37"/>
      <c r="M396" s="37"/>
      <c r="N396" s="37"/>
      <c r="O396" s="37"/>
    </row>
    <row r="397">
      <c r="L397" s="37"/>
      <c r="M397" s="37"/>
      <c r="N397" s="37"/>
      <c r="O397" s="37"/>
    </row>
    <row r="398">
      <c r="L398" s="37"/>
      <c r="M398" s="37"/>
      <c r="N398" s="37"/>
      <c r="O398" s="37"/>
    </row>
    <row r="399">
      <c r="L399" s="37"/>
      <c r="M399" s="37"/>
      <c r="N399" s="37"/>
      <c r="O399" s="37"/>
    </row>
    <row r="400">
      <c r="L400" s="37"/>
      <c r="M400" s="37"/>
      <c r="N400" s="37"/>
      <c r="O400" s="37"/>
    </row>
    <row r="401">
      <c r="L401" s="37"/>
      <c r="M401" s="37"/>
      <c r="N401" s="37"/>
      <c r="O401" s="37"/>
    </row>
    <row r="402">
      <c r="L402" s="37"/>
      <c r="M402" s="37"/>
      <c r="N402" s="37"/>
      <c r="O402" s="37"/>
    </row>
    <row r="403">
      <c r="L403" s="37"/>
      <c r="M403" s="37"/>
      <c r="N403" s="37"/>
      <c r="O403" s="37"/>
    </row>
    <row r="404">
      <c r="L404" s="37"/>
      <c r="M404" s="37"/>
      <c r="N404" s="37"/>
      <c r="O404" s="37"/>
    </row>
    <row r="405">
      <c r="L405" s="37"/>
      <c r="M405" s="37"/>
      <c r="N405" s="37"/>
      <c r="O405" s="37"/>
    </row>
    <row r="406">
      <c r="L406" s="37"/>
      <c r="M406" s="37"/>
      <c r="N406" s="37"/>
      <c r="O406" s="37"/>
    </row>
    <row r="407">
      <c r="L407" s="37"/>
      <c r="M407" s="37"/>
      <c r="N407" s="37"/>
      <c r="O407" s="37"/>
    </row>
    <row r="408">
      <c r="L408" s="37"/>
      <c r="M408" s="37"/>
      <c r="N408" s="37"/>
      <c r="O408" s="37"/>
    </row>
    <row r="409">
      <c r="L409" s="37"/>
      <c r="M409" s="37"/>
      <c r="N409" s="37"/>
      <c r="O409" s="37"/>
    </row>
    <row r="410">
      <c r="L410" s="37"/>
      <c r="M410" s="37"/>
      <c r="N410" s="37"/>
      <c r="O410" s="37"/>
    </row>
    <row r="411">
      <c r="L411" s="37"/>
      <c r="M411" s="37"/>
      <c r="N411" s="37"/>
      <c r="O411" s="37"/>
    </row>
    <row r="412">
      <c r="L412" s="37"/>
      <c r="M412" s="37"/>
      <c r="N412" s="37"/>
      <c r="O412" s="37"/>
    </row>
    <row r="413">
      <c r="L413" s="37"/>
      <c r="M413" s="37"/>
      <c r="N413" s="37"/>
      <c r="O413" s="37"/>
    </row>
    <row r="414">
      <c r="L414" s="37"/>
      <c r="M414" s="37"/>
      <c r="N414" s="37"/>
      <c r="O414" s="37"/>
    </row>
    <row r="415">
      <c r="L415" s="37"/>
      <c r="M415" s="37"/>
      <c r="N415" s="37"/>
      <c r="O415" s="37"/>
    </row>
    <row r="416">
      <c r="L416" s="37"/>
      <c r="M416" s="37"/>
      <c r="N416" s="37"/>
      <c r="O416" s="37"/>
    </row>
    <row r="417">
      <c r="L417" s="37"/>
      <c r="M417" s="37"/>
      <c r="N417" s="37"/>
      <c r="O417" s="37"/>
    </row>
    <row r="418">
      <c r="L418" s="37"/>
      <c r="M418" s="37"/>
      <c r="N418" s="37"/>
      <c r="O418" s="37"/>
    </row>
    <row r="419">
      <c r="L419" s="37"/>
      <c r="M419" s="37"/>
      <c r="N419" s="37"/>
      <c r="O419" s="37"/>
    </row>
    <row r="420">
      <c r="L420" s="37"/>
      <c r="M420" s="37"/>
      <c r="N420" s="37"/>
      <c r="O420" s="37"/>
    </row>
    <row r="421">
      <c r="L421" s="37"/>
      <c r="M421" s="37"/>
      <c r="N421" s="37"/>
      <c r="O421" s="37"/>
    </row>
    <row r="422">
      <c r="L422" s="37"/>
      <c r="M422" s="37"/>
      <c r="N422" s="37"/>
      <c r="O422" s="37"/>
    </row>
    <row r="423">
      <c r="L423" s="37"/>
      <c r="M423" s="37"/>
      <c r="N423" s="37"/>
      <c r="O423" s="37"/>
    </row>
    <row r="424">
      <c r="L424" s="37"/>
      <c r="M424" s="37"/>
      <c r="N424" s="37"/>
      <c r="O424" s="37"/>
    </row>
    <row r="425">
      <c r="L425" s="37"/>
      <c r="M425" s="37"/>
      <c r="N425" s="37"/>
      <c r="O425" s="37"/>
    </row>
    <row r="426">
      <c r="L426" s="37"/>
      <c r="M426" s="37"/>
      <c r="N426" s="37"/>
      <c r="O426" s="37"/>
    </row>
    <row r="427">
      <c r="L427" s="37"/>
      <c r="M427" s="37"/>
      <c r="N427" s="37"/>
      <c r="O427" s="37"/>
    </row>
    <row r="428">
      <c r="L428" s="37"/>
      <c r="M428" s="37"/>
      <c r="N428" s="37"/>
      <c r="O428" s="37"/>
    </row>
    <row r="429">
      <c r="L429" s="37"/>
      <c r="M429" s="37"/>
      <c r="N429" s="37"/>
      <c r="O429" s="37"/>
    </row>
    <row r="430">
      <c r="L430" s="37"/>
      <c r="M430" s="37"/>
      <c r="N430" s="37"/>
      <c r="O430" s="37"/>
    </row>
    <row r="431">
      <c r="L431" s="37"/>
      <c r="M431" s="37"/>
      <c r="N431" s="37"/>
      <c r="O431" s="37"/>
    </row>
    <row r="432">
      <c r="L432" s="37"/>
      <c r="M432" s="37"/>
      <c r="N432" s="37"/>
      <c r="O432" s="37"/>
    </row>
    <row r="433">
      <c r="L433" s="37"/>
      <c r="M433" s="37"/>
      <c r="N433" s="37"/>
      <c r="O433" s="37"/>
    </row>
    <row r="434">
      <c r="L434" s="37"/>
      <c r="M434" s="37"/>
      <c r="N434" s="37"/>
      <c r="O434" s="37"/>
    </row>
    <row r="435">
      <c r="L435" s="37"/>
      <c r="M435" s="37"/>
      <c r="N435" s="37"/>
      <c r="O435" s="37"/>
    </row>
    <row r="436">
      <c r="L436" s="37"/>
      <c r="M436" s="37"/>
      <c r="N436" s="37"/>
      <c r="O436" s="37"/>
    </row>
    <row r="437">
      <c r="L437" s="37"/>
      <c r="M437" s="37"/>
      <c r="N437" s="37"/>
      <c r="O437" s="37"/>
    </row>
    <row r="438">
      <c r="L438" s="37"/>
      <c r="M438" s="37"/>
      <c r="N438" s="37"/>
      <c r="O438" s="37"/>
    </row>
    <row r="439">
      <c r="L439" s="37"/>
      <c r="M439" s="37"/>
      <c r="N439" s="37"/>
      <c r="O439" s="37"/>
    </row>
    <row r="440">
      <c r="L440" s="37"/>
      <c r="M440" s="37"/>
      <c r="N440" s="37"/>
      <c r="O440" s="37"/>
    </row>
    <row r="441">
      <c r="L441" s="37"/>
      <c r="M441" s="37"/>
      <c r="N441" s="37"/>
      <c r="O441" s="37"/>
    </row>
    <row r="442">
      <c r="L442" s="37"/>
      <c r="M442" s="37"/>
      <c r="N442" s="37"/>
      <c r="O442" s="37"/>
    </row>
    <row r="443">
      <c r="L443" s="37"/>
      <c r="M443" s="37"/>
      <c r="N443" s="37"/>
      <c r="O443" s="37"/>
    </row>
    <row r="444">
      <c r="L444" s="37"/>
      <c r="M444" s="37"/>
      <c r="N444" s="37"/>
      <c r="O444" s="37"/>
    </row>
    <row r="445">
      <c r="L445" s="37"/>
      <c r="M445" s="37"/>
      <c r="N445" s="37"/>
      <c r="O445" s="37"/>
    </row>
    <row r="446">
      <c r="L446" s="37"/>
      <c r="M446" s="37"/>
      <c r="N446" s="37"/>
      <c r="O446" s="37"/>
    </row>
    <row r="447">
      <c r="L447" s="37"/>
      <c r="M447" s="37"/>
      <c r="N447" s="37"/>
      <c r="O447" s="37"/>
    </row>
    <row r="448">
      <c r="L448" s="37"/>
      <c r="M448" s="37"/>
      <c r="N448" s="37"/>
      <c r="O448" s="37"/>
    </row>
    <row r="449">
      <c r="L449" s="37"/>
      <c r="M449" s="37"/>
      <c r="N449" s="37"/>
      <c r="O449" s="37"/>
    </row>
    <row r="450">
      <c r="L450" s="37"/>
      <c r="M450" s="37"/>
      <c r="N450" s="37"/>
      <c r="O450" s="37"/>
    </row>
    <row r="451">
      <c r="L451" s="37"/>
      <c r="M451" s="37"/>
      <c r="N451" s="37"/>
      <c r="O451" s="37"/>
    </row>
    <row r="452">
      <c r="L452" s="37"/>
      <c r="M452" s="37"/>
      <c r="N452" s="37"/>
      <c r="O452" s="37"/>
    </row>
    <row r="453">
      <c r="L453" s="37"/>
      <c r="M453" s="37"/>
      <c r="N453" s="37"/>
      <c r="O453" s="37"/>
    </row>
    <row r="454">
      <c r="L454" s="37"/>
      <c r="M454" s="37"/>
      <c r="N454" s="37"/>
      <c r="O454" s="37"/>
    </row>
    <row r="455">
      <c r="L455" s="37"/>
      <c r="M455" s="37"/>
      <c r="N455" s="37"/>
      <c r="O455" s="37"/>
    </row>
    <row r="456">
      <c r="L456" s="37"/>
      <c r="M456" s="37"/>
      <c r="N456" s="37"/>
      <c r="O456" s="37"/>
    </row>
    <row r="457">
      <c r="L457" s="37"/>
      <c r="M457" s="37"/>
      <c r="N457" s="37"/>
      <c r="O457" s="37"/>
    </row>
    <row r="458">
      <c r="L458" s="37"/>
      <c r="M458" s="37"/>
      <c r="N458" s="37"/>
      <c r="O458" s="37"/>
    </row>
    <row r="459">
      <c r="L459" s="37"/>
      <c r="M459" s="37"/>
      <c r="N459" s="37"/>
      <c r="O459" s="37"/>
    </row>
    <row r="460">
      <c r="L460" s="37"/>
      <c r="M460" s="37"/>
      <c r="N460" s="37"/>
      <c r="O460" s="37"/>
    </row>
    <row r="461">
      <c r="L461" s="37"/>
      <c r="M461" s="37"/>
      <c r="N461" s="37"/>
      <c r="O461" s="37"/>
    </row>
    <row r="462">
      <c r="L462" s="37"/>
      <c r="M462" s="37"/>
      <c r="N462" s="37"/>
      <c r="O462" s="37"/>
    </row>
    <row r="463">
      <c r="L463" s="37"/>
      <c r="M463" s="37"/>
      <c r="N463" s="37"/>
      <c r="O463" s="37"/>
    </row>
    <row r="464">
      <c r="L464" s="37"/>
      <c r="M464" s="37"/>
      <c r="N464" s="37"/>
      <c r="O464" s="37"/>
    </row>
    <row r="465">
      <c r="L465" s="37"/>
      <c r="M465" s="37"/>
      <c r="N465" s="37"/>
      <c r="O465" s="37"/>
    </row>
    <row r="466">
      <c r="L466" s="37"/>
      <c r="M466" s="37"/>
      <c r="N466" s="37"/>
      <c r="O466" s="37"/>
    </row>
    <row r="467">
      <c r="L467" s="37"/>
      <c r="M467" s="37"/>
      <c r="N467" s="37"/>
      <c r="O467" s="37"/>
    </row>
    <row r="468">
      <c r="L468" s="37"/>
      <c r="M468" s="37"/>
      <c r="N468" s="37"/>
      <c r="O468" s="37"/>
    </row>
    <row r="469">
      <c r="L469" s="37"/>
      <c r="M469" s="37"/>
      <c r="N469" s="37"/>
      <c r="O469" s="37"/>
    </row>
    <row r="470">
      <c r="L470" s="37"/>
      <c r="M470" s="37"/>
      <c r="N470" s="37"/>
      <c r="O470" s="37"/>
    </row>
    <row r="471">
      <c r="L471" s="37"/>
      <c r="M471" s="37"/>
      <c r="N471" s="37"/>
      <c r="O471" s="37"/>
    </row>
    <row r="472">
      <c r="L472" s="37"/>
      <c r="M472" s="37"/>
      <c r="N472" s="37"/>
      <c r="O472" s="37"/>
    </row>
    <row r="473">
      <c r="L473" s="37"/>
      <c r="M473" s="37"/>
      <c r="N473" s="37"/>
      <c r="O473" s="37"/>
    </row>
    <row r="474">
      <c r="L474" s="37"/>
      <c r="M474" s="37"/>
      <c r="N474" s="37"/>
      <c r="O474" s="37"/>
    </row>
    <row r="475">
      <c r="L475" s="37"/>
      <c r="M475" s="37"/>
      <c r="N475" s="37"/>
      <c r="O475" s="37"/>
    </row>
    <row r="476">
      <c r="L476" s="37"/>
      <c r="M476" s="37"/>
      <c r="N476" s="37"/>
      <c r="O476" s="37"/>
    </row>
    <row r="477">
      <c r="L477" s="37"/>
      <c r="M477" s="37"/>
      <c r="N477" s="37"/>
      <c r="O477" s="37"/>
    </row>
    <row r="478">
      <c r="L478" s="37"/>
      <c r="M478" s="37"/>
      <c r="N478" s="37"/>
      <c r="O478" s="37"/>
    </row>
    <row r="479">
      <c r="L479" s="37"/>
      <c r="M479" s="37"/>
      <c r="N479" s="37"/>
      <c r="O479" s="37"/>
    </row>
    <row r="480">
      <c r="L480" s="37"/>
      <c r="M480" s="37"/>
      <c r="N480" s="37"/>
      <c r="O480" s="37"/>
    </row>
    <row r="481">
      <c r="L481" s="37"/>
      <c r="M481" s="37"/>
      <c r="N481" s="37"/>
      <c r="O481" s="37"/>
    </row>
    <row r="482">
      <c r="L482" s="37"/>
      <c r="M482" s="37"/>
      <c r="N482" s="37"/>
      <c r="O482" s="37"/>
    </row>
    <row r="483">
      <c r="L483" s="37"/>
      <c r="M483" s="37"/>
      <c r="N483" s="37"/>
      <c r="O483" s="37"/>
    </row>
    <row r="484">
      <c r="L484" s="37"/>
      <c r="M484" s="37"/>
      <c r="N484" s="37"/>
      <c r="O484" s="37"/>
    </row>
    <row r="485">
      <c r="L485" s="37"/>
      <c r="M485" s="37"/>
      <c r="N485" s="37"/>
      <c r="O485" s="37"/>
    </row>
    <row r="486">
      <c r="L486" s="37"/>
      <c r="M486" s="37"/>
      <c r="N486" s="37"/>
      <c r="O486" s="37"/>
    </row>
    <row r="487">
      <c r="L487" s="37"/>
      <c r="M487" s="37"/>
      <c r="N487" s="37"/>
      <c r="O487" s="37"/>
    </row>
    <row r="488">
      <c r="L488" s="37"/>
      <c r="M488" s="37"/>
      <c r="N488" s="37"/>
      <c r="O488" s="37"/>
    </row>
    <row r="489">
      <c r="L489" s="37"/>
      <c r="M489" s="37"/>
      <c r="N489" s="37"/>
      <c r="O489" s="37"/>
    </row>
    <row r="490">
      <c r="L490" s="37"/>
      <c r="M490" s="37"/>
      <c r="N490" s="37"/>
      <c r="O490" s="37"/>
    </row>
    <row r="491">
      <c r="L491" s="37"/>
      <c r="M491" s="37"/>
      <c r="N491" s="37"/>
      <c r="O491" s="37"/>
    </row>
    <row r="492">
      <c r="L492" s="37"/>
      <c r="M492" s="37"/>
      <c r="N492" s="37"/>
      <c r="O492" s="37"/>
    </row>
    <row r="493">
      <c r="L493" s="37"/>
      <c r="M493" s="37"/>
      <c r="N493" s="37"/>
      <c r="O493" s="37"/>
    </row>
    <row r="494">
      <c r="L494" s="37"/>
      <c r="M494" s="37"/>
      <c r="N494" s="37"/>
      <c r="O494" s="37"/>
    </row>
    <row r="495">
      <c r="L495" s="37"/>
      <c r="M495" s="37"/>
      <c r="N495" s="37"/>
      <c r="O495" s="37"/>
    </row>
    <row r="496">
      <c r="L496" s="37"/>
      <c r="M496" s="37"/>
      <c r="N496" s="37"/>
      <c r="O496" s="37"/>
    </row>
    <row r="497">
      <c r="L497" s="37"/>
      <c r="M497" s="37"/>
      <c r="N497" s="37"/>
      <c r="O497" s="37"/>
    </row>
    <row r="498">
      <c r="L498" s="37"/>
      <c r="M498" s="37"/>
      <c r="N498" s="37"/>
      <c r="O498" s="37"/>
    </row>
    <row r="499">
      <c r="L499" s="37"/>
      <c r="M499" s="37"/>
      <c r="N499" s="37"/>
      <c r="O499" s="37"/>
    </row>
    <row r="500">
      <c r="L500" s="37"/>
      <c r="M500" s="37"/>
      <c r="N500" s="37"/>
      <c r="O500" s="37"/>
    </row>
    <row r="501">
      <c r="L501" s="37"/>
      <c r="M501" s="37"/>
      <c r="N501" s="37"/>
      <c r="O501" s="37"/>
    </row>
    <row r="502">
      <c r="L502" s="37"/>
      <c r="M502" s="37"/>
      <c r="N502" s="37"/>
      <c r="O502" s="37"/>
    </row>
    <row r="503">
      <c r="L503" s="37"/>
      <c r="M503" s="37"/>
      <c r="N503" s="37"/>
      <c r="O503" s="37"/>
    </row>
    <row r="504">
      <c r="L504" s="37"/>
      <c r="M504" s="37"/>
      <c r="N504" s="37"/>
      <c r="O504" s="37"/>
    </row>
    <row r="505">
      <c r="L505" s="37"/>
      <c r="M505" s="37"/>
      <c r="N505" s="37"/>
      <c r="O505" s="37"/>
    </row>
    <row r="506">
      <c r="L506" s="37"/>
      <c r="M506" s="37"/>
      <c r="N506" s="37"/>
      <c r="O506" s="37"/>
    </row>
    <row r="507">
      <c r="L507" s="37"/>
      <c r="M507" s="37"/>
      <c r="N507" s="37"/>
      <c r="O507" s="37"/>
    </row>
    <row r="508">
      <c r="L508" s="37"/>
      <c r="M508" s="37"/>
      <c r="N508" s="37"/>
      <c r="O508" s="37"/>
    </row>
    <row r="509">
      <c r="L509" s="37"/>
      <c r="M509" s="37"/>
      <c r="N509" s="37"/>
      <c r="O509" s="37"/>
    </row>
    <row r="510">
      <c r="L510" s="37"/>
      <c r="M510" s="37"/>
      <c r="N510" s="37"/>
      <c r="O510" s="37"/>
    </row>
    <row r="511">
      <c r="L511" s="37"/>
      <c r="M511" s="37"/>
      <c r="N511" s="37"/>
      <c r="O511" s="37"/>
    </row>
    <row r="512">
      <c r="L512" s="37"/>
      <c r="M512" s="37"/>
      <c r="N512" s="37"/>
      <c r="O512" s="37"/>
    </row>
    <row r="513">
      <c r="L513" s="37"/>
      <c r="M513" s="37"/>
      <c r="N513" s="37"/>
      <c r="O513" s="37"/>
    </row>
    <row r="514">
      <c r="L514" s="37"/>
      <c r="M514" s="37"/>
      <c r="N514" s="37"/>
      <c r="O514" s="37"/>
    </row>
    <row r="515">
      <c r="L515" s="37"/>
      <c r="M515" s="37"/>
      <c r="N515" s="37"/>
      <c r="O515" s="37"/>
    </row>
    <row r="516">
      <c r="L516" s="37"/>
      <c r="M516" s="37"/>
      <c r="N516" s="37"/>
      <c r="O516" s="37"/>
    </row>
    <row r="517">
      <c r="L517" s="37"/>
      <c r="M517" s="37"/>
      <c r="N517" s="37"/>
      <c r="O517" s="37"/>
    </row>
    <row r="518">
      <c r="L518" s="37"/>
      <c r="M518" s="37"/>
      <c r="N518" s="37"/>
      <c r="O518" s="37"/>
    </row>
    <row r="519">
      <c r="L519" s="37"/>
      <c r="M519" s="37"/>
      <c r="N519" s="37"/>
      <c r="O519" s="37"/>
    </row>
    <row r="520">
      <c r="L520" s="37"/>
      <c r="M520" s="37"/>
      <c r="N520" s="37"/>
      <c r="O520" s="37"/>
    </row>
    <row r="521">
      <c r="L521" s="37"/>
      <c r="M521" s="37"/>
      <c r="N521" s="37"/>
      <c r="O521" s="37"/>
    </row>
    <row r="522">
      <c r="L522" s="37"/>
      <c r="M522" s="37"/>
      <c r="N522" s="37"/>
      <c r="O522" s="37"/>
    </row>
    <row r="523">
      <c r="L523" s="37"/>
      <c r="M523" s="37"/>
      <c r="N523" s="37"/>
      <c r="O523" s="37"/>
    </row>
    <row r="524">
      <c r="L524" s="37"/>
      <c r="M524" s="37"/>
      <c r="N524" s="37"/>
      <c r="O524" s="37"/>
    </row>
    <row r="525">
      <c r="L525" s="37"/>
      <c r="M525" s="37"/>
      <c r="N525" s="37"/>
      <c r="O525" s="37"/>
    </row>
    <row r="526">
      <c r="L526" s="37"/>
      <c r="M526" s="37"/>
      <c r="N526" s="37"/>
      <c r="O526" s="37"/>
    </row>
    <row r="527">
      <c r="L527" s="37"/>
      <c r="M527" s="37"/>
      <c r="N527" s="37"/>
      <c r="O527" s="37"/>
    </row>
    <row r="528">
      <c r="L528" s="37"/>
      <c r="M528" s="37"/>
      <c r="N528" s="37"/>
      <c r="O528" s="37"/>
    </row>
    <row r="529">
      <c r="L529" s="37"/>
      <c r="M529" s="37"/>
      <c r="N529" s="37"/>
      <c r="O529" s="37"/>
    </row>
    <row r="530">
      <c r="L530" s="37"/>
      <c r="M530" s="37"/>
      <c r="N530" s="37"/>
      <c r="O530" s="37"/>
    </row>
    <row r="531">
      <c r="L531" s="37"/>
      <c r="M531" s="37"/>
      <c r="N531" s="37"/>
      <c r="O531" s="37"/>
    </row>
    <row r="532">
      <c r="L532" s="37"/>
      <c r="M532" s="37"/>
      <c r="N532" s="37"/>
      <c r="O532" s="37"/>
    </row>
    <row r="533">
      <c r="L533" s="37"/>
      <c r="M533" s="37"/>
      <c r="N533" s="37"/>
      <c r="O533" s="37"/>
    </row>
    <row r="534">
      <c r="L534" s="37"/>
      <c r="M534" s="37"/>
      <c r="N534" s="37"/>
      <c r="O534" s="37"/>
    </row>
    <row r="535">
      <c r="L535" s="37"/>
      <c r="M535" s="37"/>
      <c r="N535" s="37"/>
      <c r="O535" s="37"/>
    </row>
    <row r="536">
      <c r="L536" s="37"/>
      <c r="M536" s="37"/>
      <c r="N536" s="37"/>
      <c r="O536" s="37"/>
    </row>
    <row r="537">
      <c r="L537" s="37"/>
      <c r="M537" s="37"/>
      <c r="N537" s="37"/>
      <c r="O537" s="37"/>
    </row>
    <row r="538">
      <c r="L538" s="37"/>
      <c r="M538" s="37"/>
      <c r="N538" s="37"/>
      <c r="O538" s="37"/>
    </row>
    <row r="539">
      <c r="L539" s="37"/>
      <c r="M539" s="37"/>
      <c r="N539" s="37"/>
      <c r="O539" s="37"/>
    </row>
    <row r="540">
      <c r="L540" s="37"/>
      <c r="M540" s="37"/>
      <c r="N540" s="37"/>
      <c r="O540" s="37"/>
    </row>
    <row r="541">
      <c r="L541" s="37"/>
      <c r="M541" s="37"/>
      <c r="N541" s="37"/>
      <c r="O541" s="37"/>
    </row>
    <row r="542">
      <c r="L542" s="37"/>
      <c r="M542" s="37"/>
      <c r="N542" s="37"/>
      <c r="O542" s="37"/>
    </row>
    <row r="543">
      <c r="L543" s="37"/>
      <c r="M543" s="37"/>
      <c r="N543" s="37"/>
      <c r="O543" s="37"/>
    </row>
    <row r="544">
      <c r="L544" s="37"/>
      <c r="M544" s="37"/>
      <c r="N544" s="37"/>
      <c r="O544" s="37"/>
    </row>
    <row r="545">
      <c r="L545" s="37"/>
      <c r="M545" s="37"/>
      <c r="N545" s="37"/>
      <c r="O545" s="37"/>
    </row>
    <row r="546">
      <c r="L546" s="37"/>
      <c r="M546" s="37"/>
      <c r="N546" s="37"/>
      <c r="O546" s="37"/>
    </row>
    <row r="547">
      <c r="L547" s="37"/>
      <c r="M547" s="37"/>
      <c r="N547" s="37"/>
      <c r="O547" s="37"/>
    </row>
    <row r="548">
      <c r="L548" s="37"/>
      <c r="M548" s="37"/>
      <c r="N548" s="37"/>
      <c r="O548" s="37"/>
    </row>
    <row r="549">
      <c r="L549" s="37"/>
      <c r="M549" s="37"/>
      <c r="N549" s="37"/>
      <c r="O549" s="37"/>
    </row>
    <row r="550">
      <c r="L550" s="37"/>
      <c r="M550" s="37"/>
      <c r="N550" s="37"/>
      <c r="O550" s="37"/>
    </row>
    <row r="551">
      <c r="L551" s="37"/>
      <c r="M551" s="37"/>
      <c r="N551" s="37"/>
      <c r="O551" s="37"/>
    </row>
    <row r="552">
      <c r="L552" s="37"/>
      <c r="M552" s="37"/>
      <c r="N552" s="37"/>
      <c r="O552" s="37"/>
    </row>
    <row r="553">
      <c r="L553" s="37"/>
      <c r="M553" s="37"/>
      <c r="N553" s="37"/>
      <c r="O553" s="37"/>
    </row>
    <row r="554">
      <c r="L554" s="37"/>
      <c r="M554" s="37"/>
      <c r="N554" s="37"/>
      <c r="O554" s="37"/>
    </row>
    <row r="555">
      <c r="L555" s="37"/>
      <c r="M555" s="37"/>
      <c r="N555" s="37"/>
      <c r="O555" s="37"/>
    </row>
    <row r="556">
      <c r="L556" s="37"/>
      <c r="M556" s="37"/>
      <c r="N556" s="37"/>
      <c r="O556" s="37"/>
    </row>
    <row r="557">
      <c r="L557" s="37"/>
      <c r="M557" s="37"/>
      <c r="N557" s="37"/>
      <c r="O557" s="37"/>
    </row>
    <row r="558">
      <c r="L558" s="37"/>
      <c r="M558" s="37"/>
      <c r="N558" s="37"/>
      <c r="O558" s="37"/>
    </row>
    <row r="559">
      <c r="L559" s="37"/>
      <c r="M559" s="37"/>
      <c r="N559" s="37"/>
      <c r="O559" s="37"/>
    </row>
    <row r="560">
      <c r="L560" s="37"/>
      <c r="M560" s="37"/>
      <c r="N560" s="37"/>
      <c r="O560" s="37"/>
    </row>
    <row r="561">
      <c r="L561" s="37"/>
      <c r="M561" s="37"/>
      <c r="N561" s="37"/>
      <c r="O561" s="37"/>
    </row>
    <row r="562">
      <c r="L562" s="37"/>
      <c r="M562" s="37"/>
      <c r="N562" s="37"/>
      <c r="O562" s="37"/>
    </row>
    <row r="563">
      <c r="L563" s="37"/>
      <c r="M563" s="37"/>
      <c r="N563" s="37"/>
      <c r="O563" s="37"/>
    </row>
    <row r="564">
      <c r="L564" s="37"/>
      <c r="M564" s="37"/>
      <c r="N564" s="37"/>
      <c r="O564" s="37"/>
    </row>
    <row r="565">
      <c r="L565" s="37"/>
      <c r="M565" s="37"/>
      <c r="N565" s="37"/>
      <c r="O565" s="37"/>
    </row>
    <row r="566">
      <c r="L566" s="37"/>
      <c r="M566" s="37"/>
      <c r="N566" s="37"/>
      <c r="O566" s="37"/>
    </row>
    <row r="567">
      <c r="L567" s="37"/>
      <c r="M567" s="37"/>
      <c r="N567" s="37"/>
      <c r="O567" s="37"/>
    </row>
    <row r="568">
      <c r="L568" s="37"/>
      <c r="M568" s="37"/>
      <c r="N568" s="37"/>
      <c r="O568" s="37"/>
    </row>
    <row r="569">
      <c r="L569" s="37"/>
      <c r="M569" s="37"/>
      <c r="N569" s="37"/>
      <c r="O569" s="37"/>
    </row>
    <row r="570">
      <c r="L570" s="37"/>
      <c r="M570" s="37"/>
      <c r="N570" s="37"/>
      <c r="O570" s="37"/>
    </row>
    <row r="571">
      <c r="L571" s="37"/>
      <c r="M571" s="37"/>
      <c r="N571" s="37"/>
      <c r="O571" s="37"/>
    </row>
    <row r="572">
      <c r="L572" s="37"/>
      <c r="M572" s="37"/>
      <c r="N572" s="37"/>
      <c r="O572" s="37"/>
    </row>
    <row r="573">
      <c r="L573" s="37"/>
      <c r="M573" s="37"/>
      <c r="N573" s="37"/>
      <c r="O573" s="37"/>
    </row>
    <row r="574">
      <c r="L574" s="37"/>
      <c r="M574" s="37"/>
      <c r="N574" s="37"/>
      <c r="O574" s="37"/>
    </row>
    <row r="575">
      <c r="L575" s="37"/>
      <c r="M575" s="37"/>
      <c r="N575" s="37"/>
      <c r="O575" s="37"/>
    </row>
    <row r="576">
      <c r="L576" s="37"/>
      <c r="M576" s="37"/>
      <c r="N576" s="37"/>
      <c r="O576" s="37"/>
    </row>
    <row r="577">
      <c r="L577" s="37"/>
      <c r="M577" s="37"/>
      <c r="N577" s="37"/>
      <c r="O577" s="37"/>
    </row>
    <row r="578">
      <c r="L578" s="37"/>
      <c r="M578" s="37"/>
      <c r="N578" s="37"/>
      <c r="O578" s="37"/>
    </row>
    <row r="579">
      <c r="L579" s="37"/>
      <c r="M579" s="37"/>
      <c r="N579" s="37"/>
      <c r="O579" s="37"/>
    </row>
    <row r="580">
      <c r="L580" s="37"/>
      <c r="M580" s="37"/>
      <c r="N580" s="37"/>
      <c r="O580" s="37"/>
    </row>
    <row r="581">
      <c r="L581" s="37"/>
      <c r="M581" s="37"/>
      <c r="N581" s="37"/>
      <c r="O581" s="37"/>
    </row>
    <row r="582">
      <c r="L582" s="37"/>
      <c r="M582" s="37"/>
      <c r="N582" s="37"/>
      <c r="O582" s="37"/>
    </row>
    <row r="583">
      <c r="L583" s="37"/>
      <c r="M583" s="37"/>
      <c r="N583" s="37"/>
      <c r="O583" s="37"/>
    </row>
    <row r="584">
      <c r="L584" s="37"/>
      <c r="M584" s="37"/>
      <c r="N584" s="37"/>
      <c r="O584" s="37"/>
    </row>
    <row r="585">
      <c r="L585" s="37"/>
      <c r="M585" s="37"/>
      <c r="N585" s="37"/>
      <c r="O585" s="37"/>
    </row>
    <row r="586">
      <c r="L586" s="37"/>
      <c r="M586" s="37"/>
      <c r="N586" s="37"/>
      <c r="O586" s="37"/>
    </row>
    <row r="587">
      <c r="L587" s="37"/>
      <c r="M587" s="37"/>
      <c r="N587" s="37"/>
      <c r="O587" s="37"/>
    </row>
    <row r="588">
      <c r="L588" s="37"/>
      <c r="M588" s="37"/>
      <c r="N588" s="37"/>
      <c r="O588" s="37"/>
    </row>
    <row r="589">
      <c r="L589" s="37"/>
      <c r="M589" s="37"/>
      <c r="N589" s="37"/>
      <c r="O589" s="37"/>
    </row>
    <row r="590">
      <c r="L590" s="37"/>
      <c r="M590" s="37"/>
      <c r="N590" s="37"/>
      <c r="O590" s="37"/>
    </row>
    <row r="591">
      <c r="L591" s="37"/>
      <c r="M591" s="37"/>
      <c r="N591" s="37"/>
      <c r="O591" s="37"/>
    </row>
    <row r="592">
      <c r="L592" s="37"/>
      <c r="M592" s="37"/>
      <c r="N592" s="37"/>
      <c r="O592" s="37"/>
    </row>
    <row r="593">
      <c r="L593" s="37"/>
      <c r="M593" s="37"/>
      <c r="N593" s="37"/>
      <c r="O593" s="37"/>
    </row>
    <row r="594">
      <c r="L594" s="37"/>
      <c r="M594" s="37"/>
      <c r="N594" s="37"/>
      <c r="O594" s="37"/>
    </row>
    <row r="595">
      <c r="L595" s="37"/>
      <c r="M595" s="37"/>
      <c r="N595" s="37"/>
      <c r="O595" s="37"/>
    </row>
    <row r="596">
      <c r="L596" s="37"/>
      <c r="M596" s="37"/>
      <c r="N596" s="37"/>
      <c r="O596" s="37"/>
    </row>
    <row r="597">
      <c r="L597" s="37"/>
      <c r="M597" s="37"/>
      <c r="N597" s="37"/>
      <c r="O597" s="37"/>
    </row>
    <row r="598">
      <c r="L598" s="37"/>
      <c r="M598" s="37"/>
      <c r="N598" s="37"/>
      <c r="O598" s="37"/>
    </row>
    <row r="599">
      <c r="L599" s="37"/>
      <c r="M599" s="37"/>
      <c r="N599" s="37"/>
      <c r="O599" s="37"/>
    </row>
    <row r="600">
      <c r="L600" s="37"/>
      <c r="M600" s="37"/>
      <c r="N600" s="37"/>
      <c r="O600" s="37"/>
    </row>
    <row r="601">
      <c r="L601" s="37"/>
      <c r="M601" s="37"/>
      <c r="N601" s="37"/>
      <c r="O601" s="37"/>
    </row>
    <row r="602">
      <c r="L602" s="37"/>
      <c r="M602" s="37"/>
      <c r="N602" s="37"/>
      <c r="O602" s="37"/>
    </row>
    <row r="603">
      <c r="L603" s="37"/>
      <c r="M603" s="37"/>
      <c r="N603" s="37"/>
      <c r="O603" s="37"/>
    </row>
    <row r="604">
      <c r="L604" s="37"/>
      <c r="M604" s="37"/>
      <c r="N604" s="37"/>
      <c r="O604" s="37"/>
    </row>
    <row r="605">
      <c r="L605" s="37"/>
      <c r="M605" s="37"/>
      <c r="N605" s="37"/>
      <c r="O605" s="37"/>
    </row>
    <row r="606">
      <c r="L606" s="37"/>
      <c r="M606" s="37"/>
      <c r="N606" s="37"/>
      <c r="O606" s="37"/>
    </row>
    <row r="607">
      <c r="L607" s="37"/>
      <c r="M607" s="37"/>
      <c r="N607" s="37"/>
      <c r="O607" s="37"/>
    </row>
    <row r="608">
      <c r="L608" s="37"/>
      <c r="M608" s="37"/>
      <c r="N608" s="37"/>
      <c r="O608" s="37"/>
    </row>
    <row r="609">
      <c r="L609" s="37"/>
      <c r="M609" s="37"/>
      <c r="N609" s="37"/>
      <c r="O609" s="37"/>
    </row>
    <row r="610">
      <c r="L610" s="37"/>
      <c r="M610" s="37"/>
      <c r="N610" s="37"/>
      <c r="O610" s="37"/>
    </row>
    <row r="611">
      <c r="L611" s="37"/>
      <c r="M611" s="37"/>
      <c r="N611" s="37"/>
      <c r="O611" s="37"/>
    </row>
    <row r="612">
      <c r="L612" s="37"/>
      <c r="M612" s="37"/>
      <c r="N612" s="37"/>
      <c r="O612" s="37"/>
    </row>
    <row r="613">
      <c r="L613" s="37"/>
      <c r="M613" s="37"/>
      <c r="N613" s="37"/>
      <c r="O613" s="37"/>
    </row>
    <row r="614">
      <c r="L614" s="37"/>
      <c r="M614" s="37"/>
      <c r="N614" s="37"/>
      <c r="O614" s="37"/>
    </row>
    <row r="615">
      <c r="L615" s="37"/>
      <c r="M615" s="37"/>
      <c r="N615" s="37"/>
      <c r="O615" s="37"/>
    </row>
    <row r="616">
      <c r="L616" s="37"/>
      <c r="M616" s="37"/>
      <c r="N616" s="37"/>
      <c r="O616" s="37"/>
    </row>
    <row r="617">
      <c r="L617" s="37"/>
      <c r="M617" s="37"/>
      <c r="N617" s="37"/>
      <c r="O617" s="37"/>
    </row>
    <row r="618">
      <c r="L618" s="37"/>
      <c r="M618" s="37"/>
      <c r="N618" s="37"/>
      <c r="O618" s="37"/>
    </row>
    <row r="619">
      <c r="L619" s="37"/>
      <c r="M619" s="37"/>
      <c r="N619" s="37"/>
      <c r="O619" s="37"/>
    </row>
    <row r="620">
      <c r="L620" s="37"/>
      <c r="M620" s="37"/>
      <c r="N620" s="37"/>
      <c r="O620" s="37"/>
    </row>
    <row r="621">
      <c r="L621" s="37"/>
      <c r="M621" s="37"/>
      <c r="N621" s="37"/>
      <c r="O621" s="37"/>
    </row>
    <row r="622">
      <c r="L622" s="37"/>
      <c r="M622" s="37"/>
      <c r="N622" s="37"/>
      <c r="O622" s="37"/>
    </row>
    <row r="623">
      <c r="L623" s="37"/>
      <c r="M623" s="37"/>
      <c r="N623" s="37"/>
      <c r="O623" s="37"/>
    </row>
    <row r="624">
      <c r="L624" s="37"/>
      <c r="M624" s="37"/>
      <c r="N624" s="37"/>
      <c r="O624" s="37"/>
    </row>
    <row r="625">
      <c r="L625" s="37"/>
      <c r="M625" s="37"/>
      <c r="N625" s="37"/>
      <c r="O625" s="37"/>
    </row>
    <row r="626">
      <c r="L626" s="37"/>
      <c r="M626" s="37"/>
      <c r="N626" s="37"/>
      <c r="O626" s="37"/>
    </row>
    <row r="627">
      <c r="L627" s="37"/>
      <c r="M627" s="37"/>
      <c r="N627" s="37"/>
      <c r="O627" s="37"/>
    </row>
    <row r="628">
      <c r="L628" s="37"/>
      <c r="M628" s="37"/>
      <c r="N628" s="37"/>
      <c r="O628" s="37"/>
    </row>
    <row r="629">
      <c r="L629" s="37"/>
      <c r="M629" s="37"/>
      <c r="N629" s="37"/>
      <c r="O629" s="37"/>
    </row>
    <row r="630">
      <c r="L630" s="37"/>
      <c r="M630" s="37"/>
      <c r="N630" s="37"/>
      <c r="O630" s="37"/>
    </row>
    <row r="631">
      <c r="L631" s="37"/>
      <c r="M631" s="37"/>
      <c r="N631" s="37"/>
      <c r="O631" s="37"/>
    </row>
    <row r="632">
      <c r="L632" s="37"/>
      <c r="M632" s="37"/>
      <c r="N632" s="37"/>
      <c r="O632" s="37"/>
    </row>
    <row r="633">
      <c r="L633" s="37"/>
      <c r="M633" s="37"/>
      <c r="N633" s="37"/>
      <c r="O633" s="37"/>
    </row>
    <row r="634">
      <c r="L634" s="37"/>
      <c r="M634" s="37"/>
      <c r="N634" s="37"/>
      <c r="O634" s="37"/>
    </row>
    <row r="635">
      <c r="L635" s="37"/>
      <c r="M635" s="37"/>
      <c r="N635" s="37"/>
      <c r="O635" s="37"/>
    </row>
    <row r="636">
      <c r="L636" s="37"/>
      <c r="M636" s="37"/>
      <c r="N636" s="37"/>
      <c r="O636" s="37"/>
    </row>
    <row r="637">
      <c r="L637" s="37"/>
      <c r="M637" s="37"/>
      <c r="N637" s="37"/>
      <c r="O637" s="37"/>
    </row>
    <row r="638">
      <c r="L638" s="37"/>
      <c r="M638" s="37"/>
      <c r="N638" s="37"/>
      <c r="O638" s="37"/>
    </row>
    <row r="639">
      <c r="L639" s="37"/>
      <c r="M639" s="37"/>
      <c r="N639" s="37"/>
      <c r="O639" s="37"/>
    </row>
    <row r="640">
      <c r="L640" s="37"/>
      <c r="M640" s="37"/>
      <c r="N640" s="37"/>
      <c r="O640" s="37"/>
    </row>
    <row r="641">
      <c r="L641" s="37"/>
      <c r="M641" s="37"/>
      <c r="N641" s="37"/>
      <c r="O641" s="37"/>
    </row>
    <row r="642">
      <c r="L642" s="37"/>
      <c r="M642" s="37"/>
      <c r="N642" s="37"/>
      <c r="O642" s="37"/>
    </row>
    <row r="643">
      <c r="L643" s="37"/>
      <c r="M643" s="37"/>
      <c r="N643" s="37"/>
      <c r="O643" s="37"/>
    </row>
    <row r="644">
      <c r="L644" s="37"/>
      <c r="M644" s="37"/>
      <c r="N644" s="37"/>
      <c r="O644" s="37"/>
    </row>
    <row r="645">
      <c r="L645" s="37"/>
      <c r="M645" s="37"/>
      <c r="N645" s="37"/>
      <c r="O645" s="37"/>
    </row>
    <row r="646">
      <c r="L646" s="37"/>
      <c r="M646" s="37"/>
      <c r="N646" s="37"/>
      <c r="O646" s="37"/>
    </row>
    <row r="647">
      <c r="L647" s="37"/>
      <c r="M647" s="37"/>
      <c r="N647" s="37"/>
      <c r="O647" s="37"/>
    </row>
    <row r="648">
      <c r="L648" s="37"/>
      <c r="M648" s="37"/>
      <c r="N648" s="37"/>
      <c r="O648" s="37"/>
    </row>
    <row r="649">
      <c r="L649" s="37"/>
      <c r="M649" s="37"/>
      <c r="N649" s="37"/>
      <c r="O649" s="37"/>
    </row>
    <row r="650">
      <c r="L650" s="37"/>
      <c r="M650" s="37"/>
      <c r="N650" s="37"/>
      <c r="O650" s="37"/>
    </row>
    <row r="651">
      <c r="L651" s="37"/>
      <c r="M651" s="37"/>
      <c r="N651" s="37"/>
      <c r="O651" s="37"/>
    </row>
    <row r="652">
      <c r="L652" s="37"/>
      <c r="M652" s="37"/>
      <c r="N652" s="37"/>
      <c r="O652" s="37"/>
    </row>
    <row r="653">
      <c r="L653" s="37"/>
      <c r="M653" s="37"/>
      <c r="N653" s="37"/>
      <c r="O653" s="37"/>
    </row>
    <row r="654">
      <c r="L654" s="37"/>
      <c r="M654" s="37"/>
      <c r="N654" s="37"/>
      <c r="O654" s="37"/>
    </row>
    <row r="655">
      <c r="L655" s="37"/>
      <c r="M655" s="37"/>
      <c r="N655" s="37"/>
      <c r="O655" s="37"/>
    </row>
    <row r="656">
      <c r="L656" s="37"/>
      <c r="M656" s="37"/>
      <c r="N656" s="37"/>
      <c r="O656" s="37"/>
    </row>
    <row r="657">
      <c r="L657" s="37"/>
      <c r="M657" s="37"/>
      <c r="N657" s="37"/>
      <c r="O657" s="37"/>
    </row>
    <row r="658">
      <c r="L658" s="37"/>
      <c r="M658" s="37"/>
      <c r="N658" s="37"/>
      <c r="O658" s="37"/>
    </row>
    <row r="659">
      <c r="L659" s="37"/>
      <c r="M659" s="37"/>
      <c r="N659" s="37"/>
      <c r="O659" s="37"/>
    </row>
    <row r="660">
      <c r="L660" s="37"/>
      <c r="M660" s="37"/>
      <c r="N660" s="37"/>
      <c r="O660" s="37"/>
    </row>
    <row r="661">
      <c r="L661" s="37"/>
      <c r="M661" s="37"/>
      <c r="N661" s="37"/>
      <c r="O661" s="37"/>
    </row>
    <row r="662">
      <c r="L662" s="37"/>
      <c r="M662" s="37"/>
      <c r="N662" s="37"/>
      <c r="O662" s="37"/>
    </row>
    <row r="663">
      <c r="L663" s="37"/>
      <c r="M663" s="37"/>
      <c r="N663" s="37"/>
      <c r="O663" s="37"/>
    </row>
    <row r="664">
      <c r="L664" s="37"/>
      <c r="M664" s="37"/>
      <c r="N664" s="37"/>
      <c r="O664" s="37"/>
    </row>
    <row r="665">
      <c r="L665" s="37"/>
      <c r="M665" s="37"/>
      <c r="N665" s="37"/>
      <c r="O665" s="37"/>
    </row>
    <row r="666">
      <c r="L666" s="37"/>
      <c r="M666" s="37"/>
      <c r="N666" s="37"/>
      <c r="O666" s="37"/>
    </row>
    <row r="667">
      <c r="L667" s="37"/>
      <c r="M667" s="37"/>
      <c r="N667" s="37"/>
      <c r="O667" s="37"/>
    </row>
    <row r="668">
      <c r="L668" s="37"/>
      <c r="M668" s="37"/>
      <c r="N668" s="37"/>
      <c r="O668" s="37"/>
    </row>
    <row r="669">
      <c r="L669" s="37"/>
      <c r="M669" s="37"/>
      <c r="N669" s="37"/>
      <c r="O669" s="37"/>
    </row>
    <row r="670">
      <c r="L670" s="37"/>
      <c r="M670" s="37"/>
      <c r="N670" s="37"/>
      <c r="O670" s="37"/>
    </row>
    <row r="671">
      <c r="L671" s="37"/>
      <c r="M671" s="37"/>
      <c r="N671" s="37"/>
      <c r="O671" s="37"/>
    </row>
    <row r="672">
      <c r="L672" s="37"/>
      <c r="M672" s="37"/>
      <c r="N672" s="37"/>
      <c r="O672" s="37"/>
    </row>
    <row r="673">
      <c r="L673" s="37"/>
      <c r="M673" s="37"/>
      <c r="N673" s="37"/>
      <c r="O673" s="37"/>
    </row>
    <row r="674">
      <c r="L674" s="37"/>
      <c r="M674" s="37"/>
      <c r="N674" s="37"/>
      <c r="O674" s="37"/>
    </row>
    <row r="675">
      <c r="L675" s="37"/>
      <c r="M675" s="37"/>
      <c r="N675" s="37"/>
      <c r="O675" s="37"/>
    </row>
    <row r="676">
      <c r="L676" s="37"/>
      <c r="M676" s="37"/>
      <c r="N676" s="37"/>
      <c r="O676" s="37"/>
    </row>
    <row r="677">
      <c r="L677" s="37"/>
      <c r="M677" s="37"/>
      <c r="N677" s="37"/>
      <c r="O677" s="37"/>
    </row>
    <row r="678">
      <c r="L678" s="37"/>
      <c r="M678" s="37"/>
      <c r="N678" s="37"/>
      <c r="O678" s="37"/>
    </row>
    <row r="679">
      <c r="L679" s="37"/>
      <c r="M679" s="37"/>
      <c r="N679" s="37"/>
      <c r="O679" s="37"/>
    </row>
    <row r="680">
      <c r="L680" s="37"/>
      <c r="M680" s="37"/>
      <c r="N680" s="37"/>
      <c r="O680" s="37"/>
    </row>
    <row r="681">
      <c r="L681" s="37"/>
      <c r="M681" s="37"/>
      <c r="N681" s="37"/>
      <c r="O681" s="37"/>
    </row>
    <row r="682">
      <c r="L682" s="37"/>
      <c r="M682" s="37"/>
      <c r="N682" s="37"/>
      <c r="O682" s="37"/>
    </row>
    <row r="683">
      <c r="L683" s="37"/>
      <c r="M683" s="37"/>
      <c r="N683" s="37"/>
      <c r="O683" s="37"/>
    </row>
    <row r="684">
      <c r="L684" s="37"/>
      <c r="M684" s="37"/>
      <c r="N684" s="37"/>
      <c r="O684" s="37"/>
    </row>
    <row r="685">
      <c r="L685" s="37"/>
      <c r="M685" s="37"/>
      <c r="N685" s="37"/>
      <c r="O685" s="37"/>
    </row>
    <row r="686">
      <c r="L686" s="37"/>
      <c r="M686" s="37"/>
      <c r="N686" s="37"/>
      <c r="O686" s="37"/>
    </row>
    <row r="687">
      <c r="L687" s="37"/>
      <c r="M687" s="37"/>
      <c r="N687" s="37"/>
      <c r="O687" s="37"/>
    </row>
    <row r="688">
      <c r="L688" s="37"/>
      <c r="M688" s="37"/>
      <c r="N688" s="37"/>
      <c r="O688" s="37"/>
    </row>
    <row r="689">
      <c r="L689" s="37"/>
      <c r="M689" s="37"/>
      <c r="N689" s="37"/>
      <c r="O689" s="37"/>
    </row>
    <row r="690">
      <c r="L690" s="37"/>
      <c r="M690" s="37"/>
      <c r="N690" s="37"/>
      <c r="O690" s="37"/>
    </row>
    <row r="691">
      <c r="L691" s="37"/>
      <c r="M691" s="37"/>
      <c r="N691" s="37"/>
      <c r="O691" s="37"/>
    </row>
    <row r="692">
      <c r="L692" s="37"/>
      <c r="M692" s="37"/>
      <c r="N692" s="37"/>
      <c r="O692" s="37"/>
    </row>
    <row r="693">
      <c r="L693" s="37"/>
      <c r="M693" s="37"/>
      <c r="N693" s="37"/>
      <c r="O693" s="37"/>
    </row>
    <row r="694">
      <c r="L694" s="37"/>
      <c r="M694" s="37"/>
      <c r="N694" s="37"/>
      <c r="O694" s="37"/>
    </row>
    <row r="695">
      <c r="L695" s="37"/>
      <c r="M695" s="37"/>
      <c r="N695" s="37"/>
      <c r="O695" s="37"/>
    </row>
    <row r="696">
      <c r="L696" s="37"/>
      <c r="M696" s="37"/>
      <c r="N696" s="37"/>
      <c r="O696" s="37"/>
    </row>
    <row r="697">
      <c r="L697" s="37"/>
      <c r="M697" s="37"/>
      <c r="N697" s="37"/>
      <c r="O697" s="37"/>
    </row>
    <row r="698">
      <c r="L698" s="37"/>
      <c r="M698" s="37"/>
      <c r="N698" s="37"/>
      <c r="O698" s="37"/>
    </row>
    <row r="699">
      <c r="L699" s="37"/>
      <c r="M699" s="37"/>
      <c r="N699" s="37"/>
      <c r="O699" s="37"/>
    </row>
    <row r="700">
      <c r="L700" s="37"/>
      <c r="M700" s="37"/>
      <c r="N700" s="37"/>
      <c r="O700" s="37"/>
    </row>
    <row r="701">
      <c r="L701" s="37"/>
      <c r="M701" s="37"/>
      <c r="N701" s="37"/>
      <c r="O701" s="37"/>
    </row>
    <row r="702">
      <c r="L702" s="37"/>
      <c r="M702" s="37"/>
      <c r="N702" s="37"/>
      <c r="O702" s="37"/>
    </row>
    <row r="703">
      <c r="L703" s="37"/>
      <c r="M703" s="37"/>
      <c r="N703" s="37"/>
      <c r="O703" s="37"/>
    </row>
    <row r="704">
      <c r="L704" s="37"/>
      <c r="M704" s="37"/>
      <c r="N704" s="37"/>
      <c r="O704" s="37"/>
    </row>
    <row r="705">
      <c r="L705" s="37"/>
      <c r="M705" s="37"/>
      <c r="N705" s="37"/>
      <c r="O705" s="37"/>
    </row>
    <row r="706">
      <c r="L706" s="37"/>
      <c r="M706" s="37"/>
      <c r="N706" s="37"/>
      <c r="O706" s="37"/>
    </row>
    <row r="707">
      <c r="L707" s="37"/>
      <c r="M707" s="37"/>
      <c r="N707" s="37"/>
      <c r="O707" s="37"/>
    </row>
    <row r="708">
      <c r="L708" s="37"/>
      <c r="M708" s="37"/>
      <c r="N708" s="37"/>
      <c r="O708" s="37"/>
    </row>
    <row r="709">
      <c r="L709" s="37"/>
      <c r="M709" s="37"/>
      <c r="N709" s="37"/>
      <c r="O709" s="37"/>
    </row>
    <row r="710">
      <c r="L710" s="37"/>
      <c r="M710" s="37"/>
      <c r="N710" s="37"/>
      <c r="O710" s="37"/>
    </row>
    <row r="711">
      <c r="L711" s="37"/>
      <c r="M711" s="37"/>
      <c r="N711" s="37"/>
      <c r="O711" s="37"/>
    </row>
    <row r="712">
      <c r="L712" s="37"/>
      <c r="M712" s="37"/>
      <c r="N712" s="37"/>
      <c r="O712" s="37"/>
    </row>
    <row r="713">
      <c r="L713" s="37"/>
      <c r="M713" s="37"/>
      <c r="N713" s="37"/>
      <c r="O713" s="37"/>
    </row>
    <row r="714">
      <c r="L714" s="37"/>
      <c r="M714" s="37"/>
      <c r="N714" s="37"/>
      <c r="O714" s="37"/>
    </row>
    <row r="715">
      <c r="L715" s="37"/>
      <c r="M715" s="37"/>
      <c r="N715" s="37"/>
      <c r="O715" s="37"/>
    </row>
    <row r="716">
      <c r="L716" s="37"/>
      <c r="M716" s="37"/>
      <c r="N716" s="37"/>
      <c r="O716" s="37"/>
    </row>
    <row r="717">
      <c r="L717" s="37"/>
      <c r="M717" s="37"/>
      <c r="N717" s="37"/>
      <c r="O717" s="37"/>
    </row>
    <row r="718">
      <c r="L718" s="37"/>
      <c r="M718" s="37"/>
      <c r="N718" s="37"/>
      <c r="O718" s="37"/>
    </row>
    <row r="719">
      <c r="L719" s="37"/>
      <c r="M719" s="37"/>
      <c r="N719" s="37"/>
      <c r="O719" s="37"/>
    </row>
    <row r="720">
      <c r="L720" s="37"/>
      <c r="M720" s="37"/>
      <c r="N720" s="37"/>
      <c r="O720" s="37"/>
    </row>
    <row r="721">
      <c r="L721" s="37"/>
      <c r="M721" s="37"/>
      <c r="N721" s="37"/>
      <c r="O721" s="37"/>
    </row>
    <row r="722">
      <c r="L722" s="37"/>
      <c r="M722" s="37"/>
      <c r="N722" s="37"/>
      <c r="O722" s="37"/>
    </row>
    <row r="723">
      <c r="L723" s="37"/>
      <c r="M723" s="37"/>
      <c r="N723" s="37"/>
      <c r="O723" s="37"/>
    </row>
    <row r="724">
      <c r="L724" s="37"/>
      <c r="M724" s="37"/>
      <c r="N724" s="37"/>
      <c r="O724" s="37"/>
    </row>
    <row r="725">
      <c r="L725" s="37"/>
      <c r="M725" s="37"/>
      <c r="N725" s="37"/>
      <c r="O725" s="37"/>
    </row>
    <row r="726">
      <c r="L726" s="37"/>
      <c r="M726" s="37"/>
      <c r="N726" s="37"/>
      <c r="O726" s="37"/>
    </row>
    <row r="727">
      <c r="L727" s="37"/>
      <c r="M727" s="37"/>
      <c r="N727" s="37"/>
      <c r="O727" s="37"/>
    </row>
    <row r="728">
      <c r="L728" s="37"/>
      <c r="M728" s="37"/>
      <c r="N728" s="37"/>
      <c r="O728" s="37"/>
    </row>
    <row r="729">
      <c r="L729" s="37"/>
      <c r="M729" s="37"/>
      <c r="N729" s="37"/>
      <c r="O729" s="37"/>
    </row>
    <row r="730">
      <c r="L730" s="37"/>
      <c r="M730" s="37"/>
      <c r="N730" s="37"/>
      <c r="O730" s="37"/>
    </row>
    <row r="731">
      <c r="L731" s="37"/>
      <c r="M731" s="37"/>
      <c r="N731" s="37"/>
      <c r="O731" s="37"/>
    </row>
    <row r="732">
      <c r="L732" s="37"/>
      <c r="M732" s="37"/>
      <c r="N732" s="37"/>
      <c r="O732" s="37"/>
    </row>
    <row r="733">
      <c r="L733" s="37"/>
      <c r="M733" s="37"/>
      <c r="N733" s="37"/>
      <c r="O733" s="37"/>
    </row>
    <row r="734">
      <c r="L734" s="37"/>
      <c r="M734" s="37"/>
      <c r="N734" s="37"/>
      <c r="O734" s="37"/>
    </row>
    <row r="735">
      <c r="L735" s="37"/>
      <c r="M735" s="37"/>
      <c r="N735" s="37"/>
      <c r="O735" s="37"/>
    </row>
    <row r="736">
      <c r="L736" s="37"/>
      <c r="M736" s="37"/>
      <c r="N736" s="37"/>
      <c r="O736" s="37"/>
    </row>
    <row r="737">
      <c r="L737" s="37"/>
      <c r="M737" s="37"/>
      <c r="N737" s="37"/>
      <c r="O737" s="37"/>
    </row>
    <row r="738">
      <c r="L738" s="37"/>
      <c r="M738" s="37"/>
      <c r="N738" s="37"/>
      <c r="O738" s="37"/>
    </row>
    <row r="739">
      <c r="L739" s="37"/>
      <c r="M739" s="37"/>
      <c r="N739" s="37"/>
      <c r="O739" s="37"/>
    </row>
    <row r="740">
      <c r="L740" s="37"/>
      <c r="M740" s="37"/>
      <c r="N740" s="37"/>
      <c r="O740" s="37"/>
    </row>
    <row r="741">
      <c r="L741" s="37"/>
      <c r="M741" s="37"/>
      <c r="N741" s="37"/>
      <c r="O741" s="37"/>
    </row>
    <row r="742">
      <c r="L742" s="37"/>
      <c r="M742" s="37"/>
      <c r="N742" s="37"/>
      <c r="O742" s="37"/>
    </row>
    <row r="743">
      <c r="L743" s="37"/>
      <c r="M743" s="37"/>
      <c r="N743" s="37"/>
      <c r="O743" s="37"/>
    </row>
    <row r="744">
      <c r="L744" s="37"/>
      <c r="M744" s="37"/>
      <c r="N744" s="37"/>
      <c r="O744" s="37"/>
    </row>
    <row r="745">
      <c r="L745" s="37"/>
      <c r="M745" s="37"/>
      <c r="N745" s="37"/>
      <c r="O745" s="37"/>
    </row>
    <row r="746">
      <c r="L746" s="37"/>
      <c r="M746" s="37"/>
      <c r="N746" s="37"/>
      <c r="O746" s="37"/>
    </row>
    <row r="747">
      <c r="L747" s="37"/>
      <c r="M747" s="37"/>
      <c r="N747" s="37"/>
      <c r="O747" s="37"/>
    </row>
    <row r="748">
      <c r="L748" s="37"/>
      <c r="M748" s="37"/>
      <c r="N748" s="37"/>
      <c r="O748" s="37"/>
    </row>
    <row r="749">
      <c r="L749" s="37"/>
      <c r="M749" s="37"/>
      <c r="N749" s="37"/>
      <c r="O749" s="37"/>
    </row>
    <row r="750">
      <c r="L750" s="37"/>
      <c r="M750" s="37"/>
      <c r="N750" s="37"/>
      <c r="O750" s="37"/>
    </row>
    <row r="751">
      <c r="L751" s="37"/>
      <c r="M751" s="37"/>
      <c r="N751" s="37"/>
      <c r="O751" s="37"/>
    </row>
    <row r="752">
      <c r="L752" s="37"/>
      <c r="M752" s="37"/>
      <c r="N752" s="37"/>
      <c r="O752" s="37"/>
    </row>
    <row r="753">
      <c r="L753" s="37"/>
      <c r="M753" s="37"/>
      <c r="N753" s="37"/>
      <c r="O753" s="37"/>
    </row>
    <row r="754">
      <c r="L754" s="37"/>
      <c r="M754" s="37"/>
      <c r="N754" s="37"/>
      <c r="O754" s="37"/>
    </row>
    <row r="755">
      <c r="L755" s="37"/>
      <c r="M755" s="37"/>
      <c r="N755" s="37"/>
      <c r="O755" s="37"/>
    </row>
    <row r="756">
      <c r="L756" s="37"/>
      <c r="M756" s="37"/>
      <c r="N756" s="37"/>
      <c r="O756" s="37"/>
    </row>
    <row r="757">
      <c r="L757" s="37"/>
      <c r="M757" s="37"/>
      <c r="N757" s="37"/>
      <c r="O757" s="37"/>
    </row>
    <row r="758">
      <c r="L758" s="37"/>
      <c r="M758" s="37"/>
      <c r="N758" s="37"/>
      <c r="O758" s="37"/>
    </row>
    <row r="759">
      <c r="L759" s="37"/>
      <c r="M759" s="37"/>
      <c r="N759" s="37"/>
      <c r="O759" s="37"/>
    </row>
    <row r="760">
      <c r="L760" s="37"/>
      <c r="M760" s="37"/>
      <c r="N760" s="37"/>
      <c r="O760" s="37"/>
    </row>
    <row r="761">
      <c r="L761" s="37"/>
      <c r="M761" s="37"/>
      <c r="N761" s="37"/>
      <c r="O761" s="37"/>
    </row>
    <row r="762">
      <c r="L762" s="37"/>
      <c r="M762" s="37"/>
      <c r="N762" s="37"/>
      <c r="O762" s="37"/>
    </row>
    <row r="763">
      <c r="L763" s="37"/>
      <c r="M763" s="37"/>
      <c r="N763" s="37"/>
      <c r="O763" s="37"/>
    </row>
    <row r="764">
      <c r="L764" s="37"/>
      <c r="M764" s="37"/>
      <c r="N764" s="37"/>
      <c r="O764" s="37"/>
    </row>
    <row r="765">
      <c r="L765" s="37"/>
      <c r="M765" s="37"/>
      <c r="N765" s="37"/>
      <c r="O765" s="37"/>
    </row>
    <row r="766">
      <c r="L766" s="37"/>
      <c r="M766" s="37"/>
      <c r="N766" s="37"/>
      <c r="O766" s="37"/>
    </row>
    <row r="767">
      <c r="L767" s="37"/>
      <c r="M767" s="37"/>
      <c r="N767" s="37"/>
      <c r="O767" s="37"/>
    </row>
    <row r="768">
      <c r="L768" s="37"/>
      <c r="M768" s="37"/>
      <c r="N768" s="37"/>
      <c r="O768" s="37"/>
    </row>
    <row r="769">
      <c r="L769" s="37"/>
      <c r="M769" s="37"/>
      <c r="N769" s="37"/>
      <c r="O769" s="37"/>
    </row>
    <row r="770">
      <c r="L770" s="37"/>
      <c r="M770" s="37"/>
      <c r="N770" s="37"/>
      <c r="O770" s="37"/>
    </row>
    <row r="771">
      <c r="L771" s="37"/>
      <c r="M771" s="37"/>
      <c r="N771" s="37"/>
      <c r="O771" s="37"/>
    </row>
    <row r="772">
      <c r="L772" s="37"/>
      <c r="M772" s="37"/>
      <c r="N772" s="37"/>
      <c r="O772" s="37"/>
    </row>
    <row r="773">
      <c r="L773" s="37"/>
      <c r="M773" s="37"/>
      <c r="N773" s="37"/>
      <c r="O773" s="37"/>
    </row>
    <row r="774">
      <c r="L774" s="37"/>
      <c r="M774" s="37"/>
      <c r="N774" s="37"/>
      <c r="O774" s="37"/>
    </row>
    <row r="775">
      <c r="L775" s="37"/>
      <c r="M775" s="37"/>
      <c r="N775" s="37"/>
      <c r="O775" s="37"/>
    </row>
    <row r="776">
      <c r="L776" s="37"/>
      <c r="M776" s="37"/>
      <c r="N776" s="37"/>
      <c r="O776" s="37"/>
    </row>
    <row r="777">
      <c r="L777" s="37"/>
      <c r="M777" s="37"/>
      <c r="N777" s="37"/>
      <c r="O777" s="37"/>
    </row>
    <row r="778">
      <c r="L778" s="37"/>
      <c r="M778" s="37"/>
      <c r="N778" s="37"/>
      <c r="O778" s="37"/>
    </row>
    <row r="779">
      <c r="L779" s="37"/>
      <c r="M779" s="37"/>
      <c r="N779" s="37"/>
      <c r="O779" s="37"/>
    </row>
    <row r="780">
      <c r="L780" s="37"/>
      <c r="M780" s="37"/>
      <c r="N780" s="37"/>
      <c r="O780" s="37"/>
    </row>
    <row r="781">
      <c r="L781" s="37"/>
      <c r="M781" s="37"/>
      <c r="N781" s="37"/>
      <c r="O781" s="37"/>
    </row>
    <row r="782">
      <c r="L782" s="37"/>
      <c r="M782" s="37"/>
      <c r="N782" s="37"/>
      <c r="O782" s="37"/>
    </row>
    <row r="783">
      <c r="L783" s="37"/>
      <c r="M783" s="37"/>
      <c r="N783" s="37"/>
      <c r="O783" s="37"/>
    </row>
    <row r="784">
      <c r="L784" s="37"/>
      <c r="M784" s="37"/>
      <c r="N784" s="37"/>
      <c r="O784" s="37"/>
    </row>
    <row r="785">
      <c r="L785" s="37"/>
      <c r="M785" s="37"/>
      <c r="N785" s="37"/>
      <c r="O785" s="37"/>
    </row>
    <row r="786">
      <c r="L786" s="37"/>
      <c r="M786" s="37"/>
      <c r="N786" s="37"/>
      <c r="O786" s="37"/>
    </row>
    <row r="787">
      <c r="L787" s="37"/>
      <c r="M787" s="37"/>
      <c r="N787" s="37"/>
      <c r="O787" s="37"/>
    </row>
    <row r="788">
      <c r="L788" s="37"/>
      <c r="M788" s="37"/>
      <c r="N788" s="37"/>
      <c r="O788" s="37"/>
    </row>
    <row r="789">
      <c r="L789" s="37"/>
      <c r="M789" s="37"/>
      <c r="N789" s="37"/>
      <c r="O789" s="37"/>
    </row>
    <row r="790">
      <c r="L790" s="37"/>
      <c r="M790" s="37"/>
      <c r="N790" s="37"/>
      <c r="O790" s="37"/>
    </row>
    <row r="791">
      <c r="L791" s="37"/>
      <c r="M791" s="37"/>
      <c r="N791" s="37"/>
      <c r="O791" s="37"/>
    </row>
    <row r="792">
      <c r="L792" s="37"/>
      <c r="M792" s="37"/>
      <c r="N792" s="37"/>
      <c r="O792" s="37"/>
    </row>
    <row r="793">
      <c r="L793" s="37"/>
      <c r="M793" s="37"/>
      <c r="N793" s="37"/>
      <c r="O793" s="37"/>
    </row>
    <row r="794">
      <c r="L794" s="37"/>
      <c r="M794" s="37"/>
      <c r="N794" s="37"/>
      <c r="O794" s="37"/>
    </row>
    <row r="795">
      <c r="L795" s="37"/>
      <c r="M795" s="37"/>
      <c r="N795" s="37"/>
      <c r="O795" s="37"/>
    </row>
    <row r="796">
      <c r="L796" s="37"/>
      <c r="M796" s="37"/>
      <c r="N796" s="37"/>
      <c r="O796" s="37"/>
    </row>
    <row r="797">
      <c r="L797" s="37"/>
      <c r="M797" s="37"/>
      <c r="N797" s="37"/>
      <c r="O797" s="37"/>
    </row>
    <row r="798">
      <c r="L798" s="37"/>
      <c r="M798" s="37"/>
      <c r="N798" s="37"/>
      <c r="O798" s="37"/>
    </row>
    <row r="799">
      <c r="L799" s="37"/>
      <c r="M799" s="37"/>
      <c r="N799" s="37"/>
      <c r="O799" s="37"/>
    </row>
    <row r="800">
      <c r="L800" s="37"/>
      <c r="M800" s="37"/>
      <c r="N800" s="37"/>
      <c r="O800" s="37"/>
    </row>
    <row r="801">
      <c r="L801" s="37"/>
      <c r="M801" s="37"/>
      <c r="N801" s="37"/>
      <c r="O801" s="37"/>
    </row>
    <row r="802">
      <c r="L802" s="37"/>
      <c r="M802" s="37"/>
      <c r="N802" s="37"/>
      <c r="O802" s="37"/>
    </row>
    <row r="803">
      <c r="L803" s="37"/>
      <c r="M803" s="37"/>
      <c r="N803" s="37"/>
      <c r="O803" s="37"/>
    </row>
    <row r="804">
      <c r="L804" s="37"/>
      <c r="M804" s="37"/>
      <c r="N804" s="37"/>
      <c r="O804" s="37"/>
    </row>
    <row r="805">
      <c r="L805" s="37"/>
      <c r="M805" s="37"/>
      <c r="N805" s="37"/>
      <c r="O805" s="37"/>
    </row>
    <row r="806">
      <c r="L806" s="37"/>
      <c r="M806" s="37"/>
      <c r="N806" s="37"/>
      <c r="O806" s="37"/>
    </row>
    <row r="807">
      <c r="L807" s="37"/>
      <c r="M807" s="37"/>
      <c r="N807" s="37"/>
      <c r="O807" s="37"/>
    </row>
    <row r="808">
      <c r="L808" s="37"/>
      <c r="M808" s="37"/>
      <c r="N808" s="37"/>
      <c r="O808" s="37"/>
    </row>
    <row r="809">
      <c r="L809" s="37"/>
      <c r="M809" s="37"/>
      <c r="N809" s="37"/>
      <c r="O809" s="37"/>
    </row>
    <row r="810">
      <c r="L810" s="37"/>
      <c r="M810" s="37"/>
      <c r="N810" s="37"/>
      <c r="O810" s="37"/>
    </row>
    <row r="811">
      <c r="L811" s="37"/>
      <c r="M811" s="37"/>
      <c r="N811" s="37"/>
      <c r="O811" s="37"/>
    </row>
    <row r="812">
      <c r="L812" s="37"/>
      <c r="M812" s="37"/>
      <c r="N812" s="37"/>
      <c r="O812" s="37"/>
    </row>
    <row r="813">
      <c r="L813" s="37"/>
      <c r="M813" s="37"/>
      <c r="N813" s="37"/>
      <c r="O813" s="37"/>
    </row>
    <row r="814">
      <c r="L814" s="37"/>
      <c r="M814" s="37"/>
      <c r="N814" s="37"/>
      <c r="O814" s="37"/>
    </row>
    <row r="815">
      <c r="L815" s="37"/>
      <c r="M815" s="37"/>
      <c r="N815" s="37"/>
      <c r="O815" s="37"/>
    </row>
    <row r="816">
      <c r="L816" s="37"/>
      <c r="M816" s="37"/>
      <c r="N816" s="37"/>
      <c r="O816" s="37"/>
    </row>
    <row r="817">
      <c r="L817" s="37"/>
      <c r="M817" s="37"/>
      <c r="N817" s="37"/>
      <c r="O817" s="37"/>
    </row>
    <row r="818">
      <c r="L818" s="37"/>
      <c r="M818" s="37"/>
      <c r="N818" s="37"/>
      <c r="O818" s="37"/>
    </row>
    <row r="819">
      <c r="L819" s="37"/>
      <c r="M819" s="37"/>
      <c r="N819" s="37"/>
      <c r="O819" s="37"/>
    </row>
    <row r="820">
      <c r="L820" s="37"/>
      <c r="M820" s="37"/>
      <c r="N820" s="37"/>
      <c r="O820" s="37"/>
    </row>
    <row r="821">
      <c r="L821" s="37"/>
      <c r="M821" s="37"/>
      <c r="N821" s="37"/>
      <c r="O821" s="37"/>
    </row>
    <row r="822">
      <c r="L822" s="37"/>
      <c r="M822" s="37"/>
      <c r="N822" s="37"/>
      <c r="O822" s="37"/>
    </row>
    <row r="823">
      <c r="L823" s="37"/>
      <c r="M823" s="37"/>
      <c r="N823" s="37"/>
      <c r="O823" s="37"/>
    </row>
    <row r="824">
      <c r="L824" s="37"/>
      <c r="M824" s="37"/>
      <c r="N824" s="37"/>
      <c r="O824" s="37"/>
    </row>
    <row r="825">
      <c r="L825" s="37"/>
      <c r="M825" s="37"/>
      <c r="N825" s="37"/>
      <c r="O825" s="37"/>
    </row>
    <row r="826">
      <c r="L826" s="37"/>
      <c r="M826" s="37"/>
      <c r="N826" s="37"/>
      <c r="O826" s="37"/>
    </row>
    <row r="827">
      <c r="L827" s="37"/>
      <c r="M827" s="37"/>
      <c r="N827" s="37"/>
      <c r="O827" s="37"/>
    </row>
    <row r="828">
      <c r="L828" s="37"/>
      <c r="M828" s="37"/>
      <c r="N828" s="37"/>
      <c r="O828" s="37"/>
    </row>
    <row r="829">
      <c r="L829" s="37"/>
      <c r="M829" s="37"/>
      <c r="N829" s="37"/>
      <c r="O829" s="37"/>
    </row>
    <row r="830">
      <c r="L830" s="37"/>
      <c r="M830" s="37"/>
      <c r="N830" s="37"/>
      <c r="O830" s="37"/>
    </row>
    <row r="831">
      <c r="L831" s="37"/>
      <c r="M831" s="37"/>
      <c r="N831" s="37"/>
      <c r="O831" s="37"/>
    </row>
    <row r="832">
      <c r="L832" s="37"/>
      <c r="M832" s="37"/>
      <c r="N832" s="37"/>
      <c r="O832" s="37"/>
    </row>
    <row r="833">
      <c r="L833" s="37"/>
      <c r="M833" s="37"/>
      <c r="N833" s="37"/>
      <c r="O833" s="37"/>
    </row>
    <row r="834">
      <c r="L834" s="37"/>
      <c r="M834" s="37"/>
      <c r="N834" s="37"/>
      <c r="O834" s="37"/>
    </row>
    <row r="835">
      <c r="L835" s="37"/>
      <c r="M835" s="37"/>
      <c r="N835" s="37"/>
      <c r="O835" s="37"/>
    </row>
    <row r="836">
      <c r="L836" s="37"/>
      <c r="M836" s="37"/>
      <c r="N836" s="37"/>
      <c r="O836" s="37"/>
    </row>
    <row r="837">
      <c r="L837" s="37"/>
      <c r="M837" s="37"/>
      <c r="N837" s="37"/>
      <c r="O837" s="37"/>
    </row>
    <row r="838">
      <c r="L838" s="37"/>
      <c r="M838" s="37"/>
      <c r="N838" s="37"/>
      <c r="O838" s="37"/>
    </row>
    <row r="839">
      <c r="L839" s="37"/>
      <c r="M839" s="37"/>
      <c r="N839" s="37"/>
      <c r="O839" s="37"/>
    </row>
    <row r="840">
      <c r="L840" s="37"/>
      <c r="M840" s="37"/>
      <c r="N840" s="37"/>
      <c r="O840" s="37"/>
    </row>
    <row r="841">
      <c r="L841" s="37"/>
      <c r="M841" s="37"/>
      <c r="N841" s="37"/>
      <c r="O841" s="37"/>
    </row>
    <row r="842">
      <c r="L842" s="37"/>
      <c r="M842" s="37"/>
      <c r="N842" s="37"/>
      <c r="O842" s="37"/>
    </row>
    <row r="843">
      <c r="L843" s="37"/>
      <c r="M843" s="37"/>
      <c r="N843" s="37"/>
      <c r="O843" s="37"/>
    </row>
    <row r="844">
      <c r="L844" s="37"/>
      <c r="M844" s="37"/>
      <c r="N844" s="37"/>
      <c r="O844" s="37"/>
    </row>
    <row r="845">
      <c r="L845" s="37"/>
      <c r="M845" s="37"/>
      <c r="N845" s="37"/>
      <c r="O845" s="37"/>
    </row>
    <row r="846">
      <c r="L846" s="37"/>
      <c r="M846" s="37"/>
      <c r="N846" s="37"/>
      <c r="O846" s="37"/>
    </row>
    <row r="847">
      <c r="L847" s="37"/>
      <c r="M847" s="37"/>
      <c r="N847" s="37"/>
      <c r="O847" s="37"/>
    </row>
    <row r="848">
      <c r="L848" s="37"/>
      <c r="M848" s="37"/>
      <c r="N848" s="37"/>
      <c r="O848" s="37"/>
    </row>
    <row r="849">
      <c r="L849" s="37"/>
      <c r="M849" s="37"/>
      <c r="N849" s="37"/>
      <c r="O849" s="37"/>
    </row>
    <row r="850">
      <c r="L850" s="37"/>
      <c r="M850" s="37"/>
      <c r="N850" s="37"/>
      <c r="O850" s="37"/>
    </row>
    <row r="851">
      <c r="L851" s="37"/>
      <c r="M851" s="37"/>
      <c r="N851" s="37"/>
      <c r="O851" s="37"/>
    </row>
    <row r="852">
      <c r="L852" s="37"/>
      <c r="M852" s="37"/>
      <c r="N852" s="37"/>
      <c r="O852" s="37"/>
    </row>
    <row r="853">
      <c r="L853" s="37"/>
      <c r="M853" s="37"/>
      <c r="N853" s="37"/>
      <c r="O853" s="37"/>
    </row>
    <row r="854">
      <c r="L854" s="37"/>
      <c r="M854" s="37"/>
      <c r="N854" s="37"/>
      <c r="O854" s="37"/>
    </row>
    <row r="855">
      <c r="L855" s="37"/>
      <c r="M855" s="37"/>
      <c r="N855" s="37"/>
      <c r="O855" s="37"/>
    </row>
    <row r="856">
      <c r="L856" s="37"/>
      <c r="M856" s="37"/>
      <c r="N856" s="37"/>
      <c r="O856" s="37"/>
    </row>
    <row r="857">
      <c r="L857" s="37"/>
      <c r="M857" s="37"/>
      <c r="N857" s="37"/>
      <c r="O857" s="37"/>
    </row>
    <row r="858">
      <c r="L858" s="37"/>
      <c r="M858" s="37"/>
      <c r="N858" s="37"/>
      <c r="O858" s="37"/>
    </row>
    <row r="859">
      <c r="L859" s="37"/>
      <c r="M859" s="37"/>
      <c r="N859" s="37"/>
      <c r="O859" s="37"/>
    </row>
    <row r="860">
      <c r="L860" s="37"/>
      <c r="M860" s="37"/>
      <c r="N860" s="37"/>
      <c r="O860" s="37"/>
    </row>
    <row r="861">
      <c r="L861" s="37"/>
      <c r="M861" s="37"/>
      <c r="N861" s="37"/>
      <c r="O861" s="37"/>
    </row>
    <row r="862">
      <c r="L862" s="37"/>
      <c r="M862" s="37"/>
      <c r="N862" s="37"/>
      <c r="O862" s="37"/>
    </row>
    <row r="863">
      <c r="L863" s="37"/>
      <c r="M863" s="37"/>
      <c r="N863" s="37"/>
      <c r="O863" s="37"/>
    </row>
    <row r="864">
      <c r="L864" s="37"/>
      <c r="M864" s="37"/>
      <c r="N864" s="37"/>
      <c r="O864" s="37"/>
    </row>
    <row r="865">
      <c r="L865" s="37"/>
      <c r="M865" s="37"/>
      <c r="N865" s="37"/>
      <c r="O865" s="37"/>
    </row>
    <row r="866">
      <c r="L866" s="37"/>
      <c r="M866" s="37"/>
      <c r="N866" s="37"/>
      <c r="O866" s="37"/>
    </row>
    <row r="867">
      <c r="L867" s="37"/>
      <c r="M867" s="37"/>
      <c r="N867" s="37"/>
      <c r="O867" s="37"/>
    </row>
    <row r="868">
      <c r="L868" s="37"/>
      <c r="M868" s="37"/>
      <c r="N868" s="37"/>
      <c r="O868" s="37"/>
    </row>
    <row r="869">
      <c r="L869" s="37"/>
      <c r="M869" s="37"/>
      <c r="N869" s="37"/>
      <c r="O869" s="37"/>
    </row>
    <row r="870">
      <c r="L870" s="37"/>
      <c r="M870" s="37"/>
      <c r="N870" s="37"/>
      <c r="O870" s="37"/>
    </row>
    <row r="871">
      <c r="L871" s="37"/>
      <c r="M871" s="37"/>
      <c r="N871" s="37"/>
      <c r="O871" s="37"/>
    </row>
    <row r="872">
      <c r="L872" s="37"/>
      <c r="M872" s="37"/>
      <c r="N872" s="37"/>
      <c r="O872" s="37"/>
    </row>
    <row r="873">
      <c r="L873" s="37"/>
      <c r="M873" s="37"/>
      <c r="N873" s="37"/>
      <c r="O873" s="37"/>
    </row>
    <row r="874">
      <c r="L874" s="37"/>
      <c r="M874" s="37"/>
      <c r="N874" s="37"/>
      <c r="O874" s="37"/>
    </row>
    <row r="875">
      <c r="L875" s="37"/>
      <c r="M875" s="37"/>
      <c r="N875" s="37"/>
      <c r="O875" s="37"/>
    </row>
    <row r="876">
      <c r="L876" s="37"/>
      <c r="M876" s="37"/>
      <c r="N876" s="37"/>
      <c r="O876" s="37"/>
    </row>
    <row r="877">
      <c r="L877" s="37"/>
      <c r="M877" s="37"/>
      <c r="N877" s="37"/>
      <c r="O877" s="37"/>
    </row>
    <row r="878">
      <c r="L878" s="37"/>
      <c r="M878" s="37"/>
      <c r="N878" s="37"/>
      <c r="O878" s="37"/>
    </row>
    <row r="879">
      <c r="L879" s="37"/>
      <c r="M879" s="37"/>
      <c r="N879" s="37"/>
      <c r="O879" s="37"/>
    </row>
    <row r="880">
      <c r="L880" s="37"/>
      <c r="M880" s="37"/>
      <c r="N880" s="37"/>
      <c r="O880" s="37"/>
    </row>
    <row r="881">
      <c r="L881" s="37"/>
      <c r="M881" s="37"/>
      <c r="N881" s="37"/>
      <c r="O881" s="37"/>
    </row>
    <row r="882">
      <c r="L882" s="37"/>
      <c r="M882" s="37"/>
      <c r="N882" s="37"/>
      <c r="O882" s="37"/>
    </row>
    <row r="883">
      <c r="L883" s="37"/>
      <c r="M883" s="37"/>
      <c r="N883" s="37"/>
      <c r="O883" s="37"/>
    </row>
    <row r="884">
      <c r="L884" s="37"/>
      <c r="M884" s="37"/>
      <c r="N884" s="37"/>
      <c r="O884" s="37"/>
    </row>
    <row r="885">
      <c r="L885" s="37"/>
      <c r="M885" s="37"/>
      <c r="N885" s="37"/>
      <c r="O885" s="37"/>
    </row>
    <row r="886">
      <c r="L886" s="37"/>
      <c r="M886" s="37"/>
      <c r="N886" s="37"/>
      <c r="O886" s="37"/>
    </row>
    <row r="887">
      <c r="L887" s="37"/>
      <c r="M887" s="37"/>
      <c r="N887" s="37"/>
      <c r="O887" s="37"/>
    </row>
    <row r="888">
      <c r="L888" s="37"/>
      <c r="M888" s="37"/>
      <c r="N888" s="37"/>
      <c r="O888" s="37"/>
    </row>
    <row r="889">
      <c r="L889" s="37"/>
      <c r="M889" s="37"/>
      <c r="N889" s="37"/>
      <c r="O889" s="37"/>
    </row>
    <row r="890">
      <c r="L890" s="37"/>
      <c r="M890" s="37"/>
      <c r="N890" s="37"/>
      <c r="O890" s="37"/>
    </row>
    <row r="891">
      <c r="L891" s="37"/>
      <c r="M891" s="37"/>
      <c r="N891" s="37"/>
      <c r="O891" s="37"/>
    </row>
    <row r="892">
      <c r="L892" s="37"/>
      <c r="M892" s="37"/>
      <c r="N892" s="37"/>
      <c r="O892" s="37"/>
    </row>
    <row r="893">
      <c r="L893" s="37"/>
      <c r="M893" s="37"/>
      <c r="N893" s="37"/>
      <c r="O893" s="37"/>
    </row>
    <row r="894">
      <c r="L894" s="37"/>
      <c r="M894" s="37"/>
      <c r="N894" s="37"/>
      <c r="O894" s="37"/>
    </row>
    <row r="895">
      <c r="L895" s="37"/>
      <c r="M895" s="37"/>
      <c r="N895" s="37"/>
      <c r="O895" s="37"/>
    </row>
    <row r="896">
      <c r="L896" s="37"/>
      <c r="M896" s="37"/>
      <c r="N896" s="37"/>
      <c r="O896" s="37"/>
    </row>
    <row r="897">
      <c r="L897" s="37"/>
      <c r="M897" s="37"/>
      <c r="N897" s="37"/>
      <c r="O897" s="37"/>
    </row>
    <row r="898">
      <c r="L898" s="37"/>
      <c r="M898" s="37"/>
      <c r="N898" s="37"/>
      <c r="O898" s="37"/>
    </row>
    <row r="899">
      <c r="L899" s="37"/>
      <c r="M899" s="37"/>
      <c r="N899" s="37"/>
      <c r="O899" s="37"/>
    </row>
    <row r="900">
      <c r="L900" s="37"/>
      <c r="M900" s="37"/>
      <c r="N900" s="37"/>
      <c r="O900" s="37"/>
    </row>
    <row r="901">
      <c r="L901" s="37"/>
      <c r="M901" s="37"/>
      <c r="N901" s="37"/>
      <c r="O901" s="37"/>
    </row>
    <row r="902">
      <c r="L902" s="37"/>
      <c r="M902" s="37"/>
      <c r="N902" s="37"/>
      <c r="O902" s="37"/>
    </row>
    <row r="903">
      <c r="L903" s="37"/>
      <c r="M903" s="37"/>
      <c r="N903" s="37"/>
      <c r="O903" s="37"/>
    </row>
    <row r="904">
      <c r="L904" s="37"/>
      <c r="M904" s="37"/>
      <c r="N904" s="37"/>
      <c r="O904" s="37"/>
    </row>
    <row r="905">
      <c r="L905" s="37"/>
      <c r="M905" s="37"/>
      <c r="N905" s="37"/>
      <c r="O905" s="37"/>
    </row>
    <row r="906">
      <c r="L906" s="37"/>
      <c r="M906" s="37"/>
      <c r="N906" s="37"/>
      <c r="O906" s="37"/>
    </row>
    <row r="907">
      <c r="L907" s="37"/>
      <c r="M907" s="37"/>
      <c r="N907" s="37"/>
      <c r="O907" s="37"/>
    </row>
    <row r="908">
      <c r="L908" s="37"/>
      <c r="M908" s="37"/>
      <c r="N908" s="37"/>
      <c r="O908" s="37"/>
    </row>
    <row r="909">
      <c r="L909" s="37"/>
      <c r="M909" s="37"/>
      <c r="N909" s="37"/>
      <c r="O909" s="37"/>
    </row>
    <row r="910">
      <c r="L910" s="37"/>
      <c r="M910" s="37"/>
      <c r="N910" s="37"/>
      <c r="O910" s="37"/>
    </row>
    <row r="911">
      <c r="L911" s="37"/>
      <c r="M911" s="37"/>
      <c r="N911" s="37"/>
      <c r="O911" s="37"/>
    </row>
    <row r="912">
      <c r="L912" s="37"/>
      <c r="M912" s="37"/>
      <c r="N912" s="37"/>
      <c r="O912" s="37"/>
    </row>
    <row r="913">
      <c r="L913" s="37"/>
      <c r="M913" s="37"/>
      <c r="N913" s="37"/>
      <c r="O913" s="37"/>
    </row>
    <row r="914">
      <c r="L914" s="37"/>
      <c r="M914" s="37"/>
      <c r="N914" s="37"/>
      <c r="O914" s="37"/>
    </row>
    <row r="915">
      <c r="L915" s="37"/>
      <c r="M915" s="37"/>
      <c r="N915" s="37"/>
      <c r="O915" s="37"/>
    </row>
    <row r="916">
      <c r="L916" s="37"/>
      <c r="M916" s="37"/>
      <c r="N916" s="37"/>
      <c r="O916" s="37"/>
    </row>
    <row r="917">
      <c r="L917" s="37"/>
      <c r="M917" s="37"/>
      <c r="N917" s="37"/>
      <c r="O917" s="37"/>
    </row>
    <row r="918">
      <c r="L918" s="37"/>
      <c r="M918" s="37"/>
      <c r="N918" s="37"/>
      <c r="O918" s="37"/>
    </row>
    <row r="919">
      <c r="L919" s="37"/>
      <c r="M919" s="37"/>
      <c r="N919" s="37"/>
      <c r="O919" s="37"/>
    </row>
    <row r="920">
      <c r="L920" s="37"/>
      <c r="M920" s="37"/>
      <c r="N920" s="37"/>
      <c r="O920" s="37"/>
    </row>
    <row r="921">
      <c r="L921" s="37"/>
      <c r="M921" s="37"/>
      <c r="N921" s="37"/>
      <c r="O921" s="37"/>
    </row>
    <row r="922">
      <c r="L922" s="37"/>
      <c r="M922" s="37"/>
      <c r="N922" s="37"/>
      <c r="O922" s="37"/>
    </row>
    <row r="923">
      <c r="L923" s="37"/>
      <c r="M923" s="37"/>
      <c r="N923" s="37"/>
      <c r="O923" s="37"/>
    </row>
    <row r="924">
      <c r="L924" s="37"/>
      <c r="M924" s="37"/>
      <c r="N924" s="37"/>
      <c r="O924" s="37"/>
    </row>
    <row r="925">
      <c r="L925" s="37"/>
      <c r="M925" s="37"/>
      <c r="N925" s="37"/>
      <c r="O925" s="37"/>
    </row>
    <row r="926">
      <c r="L926" s="37"/>
      <c r="M926" s="37"/>
      <c r="N926" s="37"/>
      <c r="O926" s="37"/>
    </row>
    <row r="927">
      <c r="L927" s="37"/>
      <c r="M927" s="37"/>
      <c r="N927" s="37"/>
      <c r="O927" s="37"/>
    </row>
    <row r="928">
      <c r="L928" s="37"/>
      <c r="M928" s="37"/>
      <c r="N928" s="37"/>
      <c r="O928" s="37"/>
    </row>
    <row r="929">
      <c r="L929" s="37"/>
      <c r="M929" s="37"/>
      <c r="N929" s="37"/>
      <c r="O929" s="37"/>
    </row>
    <row r="930">
      <c r="L930" s="37"/>
      <c r="M930" s="37"/>
      <c r="N930" s="37"/>
      <c r="O930" s="37"/>
    </row>
    <row r="931">
      <c r="L931" s="37"/>
      <c r="M931" s="37"/>
      <c r="N931" s="37"/>
      <c r="O931" s="37"/>
    </row>
    <row r="932">
      <c r="L932" s="37"/>
      <c r="M932" s="37"/>
      <c r="N932" s="37"/>
      <c r="O932" s="37"/>
    </row>
    <row r="933">
      <c r="L933" s="37"/>
      <c r="M933" s="37"/>
      <c r="N933" s="37"/>
      <c r="O933" s="37"/>
    </row>
    <row r="934">
      <c r="L934" s="37"/>
      <c r="M934" s="37"/>
      <c r="N934" s="37"/>
      <c r="O934" s="37"/>
    </row>
    <row r="935">
      <c r="L935" s="37"/>
      <c r="M935" s="37"/>
      <c r="N935" s="37"/>
      <c r="O935" s="37"/>
    </row>
    <row r="936">
      <c r="L936" s="37"/>
      <c r="M936" s="37"/>
      <c r="N936" s="37"/>
      <c r="O936" s="37"/>
    </row>
    <row r="937">
      <c r="L937" s="37"/>
      <c r="M937" s="37"/>
      <c r="N937" s="37"/>
      <c r="O937" s="37"/>
    </row>
    <row r="938">
      <c r="L938" s="37"/>
      <c r="M938" s="37"/>
      <c r="N938" s="37"/>
      <c r="O938" s="37"/>
    </row>
    <row r="939">
      <c r="L939" s="37"/>
      <c r="M939" s="37"/>
      <c r="N939" s="37"/>
      <c r="O939" s="37"/>
    </row>
    <row r="940">
      <c r="L940" s="37"/>
      <c r="M940" s="37"/>
      <c r="N940" s="37"/>
      <c r="O940" s="37"/>
    </row>
    <row r="941">
      <c r="L941" s="37"/>
      <c r="M941" s="37"/>
      <c r="N941" s="37"/>
      <c r="O941" s="37"/>
    </row>
    <row r="942">
      <c r="L942" s="37"/>
      <c r="M942" s="37"/>
      <c r="N942" s="37"/>
      <c r="O942" s="37"/>
    </row>
    <row r="943">
      <c r="L943" s="37"/>
      <c r="M943" s="37"/>
      <c r="N943" s="37"/>
      <c r="O943" s="37"/>
    </row>
    <row r="944">
      <c r="L944" s="37"/>
      <c r="M944" s="37"/>
      <c r="N944" s="37"/>
      <c r="O944" s="37"/>
    </row>
    <row r="945">
      <c r="L945" s="37"/>
      <c r="M945" s="37"/>
      <c r="N945" s="37"/>
      <c r="O945" s="37"/>
    </row>
    <row r="946">
      <c r="L946" s="37"/>
      <c r="M946" s="37"/>
      <c r="N946" s="37"/>
      <c r="O946" s="37"/>
    </row>
    <row r="947">
      <c r="L947" s="37"/>
      <c r="M947" s="37"/>
      <c r="N947" s="37"/>
      <c r="O947" s="37"/>
    </row>
    <row r="948">
      <c r="L948" s="37"/>
      <c r="M948" s="37"/>
      <c r="N948" s="37"/>
      <c r="O948" s="37"/>
    </row>
    <row r="949">
      <c r="L949" s="37"/>
      <c r="M949" s="37"/>
      <c r="N949" s="37"/>
      <c r="O949" s="37"/>
    </row>
    <row r="950">
      <c r="L950" s="37"/>
      <c r="M950" s="37"/>
      <c r="N950" s="37"/>
      <c r="O950" s="37"/>
    </row>
    <row r="951">
      <c r="L951" s="37"/>
      <c r="M951" s="37"/>
      <c r="N951" s="37"/>
      <c r="O951" s="37"/>
    </row>
    <row r="952">
      <c r="L952" s="37"/>
      <c r="M952" s="37"/>
      <c r="N952" s="37"/>
      <c r="O952" s="37"/>
    </row>
    <row r="953">
      <c r="L953" s="37"/>
      <c r="M953" s="37"/>
      <c r="N953" s="37"/>
      <c r="O953" s="37"/>
    </row>
    <row r="954">
      <c r="L954" s="37"/>
      <c r="M954" s="37"/>
      <c r="N954" s="37"/>
      <c r="O954" s="37"/>
    </row>
    <row r="955">
      <c r="L955" s="37"/>
      <c r="M955" s="37"/>
      <c r="N955" s="37"/>
      <c r="O955" s="37"/>
    </row>
    <row r="956">
      <c r="L956" s="37"/>
      <c r="M956" s="37"/>
      <c r="N956" s="37"/>
      <c r="O956" s="37"/>
    </row>
    <row r="957">
      <c r="L957" s="37"/>
      <c r="M957" s="37"/>
      <c r="N957" s="37"/>
      <c r="O957" s="37"/>
    </row>
    <row r="958">
      <c r="L958" s="37"/>
      <c r="M958" s="37"/>
      <c r="N958" s="37"/>
      <c r="O958" s="37"/>
    </row>
    <row r="959">
      <c r="L959" s="37"/>
      <c r="M959" s="37"/>
      <c r="N959" s="37"/>
      <c r="O959" s="37"/>
    </row>
    <row r="960">
      <c r="L960" s="37"/>
      <c r="M960" s="37"/>
      <c r="N960" s="37"/>
      <c r="O960" s="37"/>
    </row>
    <row r="961">
      <c r="L961" s="37"/>
      <c r="M961" s="37"/>
      <c r="N961" s="37"/>
      <c r="O961" s="37"/>
    </row>
    <row r="962">
      <c r="L962" s="37"/>
      <c r="M962" s="37"/>
      <c r="N962" s="37"/>
      <c r="O962" s="37"/>
    </row>
    <row r="963">
      <c r="L963" s="37"/>
      <c r="M963" s="37"/>
      <c r="N963" s="37"/>
      <c r="O963" s="37"/>
    </row>
    <row r="964">
      <c r="L964" s="37"/>
      <c r="M964" s="37"/>
      <c r="N964" s="37"/>
      <c r="O964" s="37"/>
    </row>
    <row r="965">
      <c r="L965" s="37"/>
      <c r="M965" s="37"/>
      <c r="N965" s="37"/>
      <c r="O965" s="37"/>
    </row>
    <row r="966">
      <c r="L966" s="37"/>
      <c r="M966" s="37"/>
      <c r="N966" s="37"/>
      <c r="O966" s="37"/>
    </row>
    <row r="967">
      <c r="L967" s="37"/>
      <c r="M967" s="37"/>
      <c r="N967" s="37"/>
      <c r="O967" s="37"/>
    </row>
    <row r="968">
      <c r="L968" s="37"/>
      <c r="M968" s="37"/>
      <c r="N968" s="37"/>
      <c r="O968" s="37"/>
    </row>
    <row r="969">
      <c r="L969" s="37"/>
      <c r="M969" s="37"/>
      <c r="N969" s="37"/>
      <c r="O969" s="37"/>
    </row>
    <row r="970">
      <c r="L970" s="37"/>
      <c r="M970" s="37"/>
      <c r="N970" s="37"/>
      <c r="O970" s="37"/>
    </row>
    <row r="971">
      <c r="L971" s="37"/>
      <c r="M971" s="37"/>
      <c r="N971" s="37"/>
      <c r="O971" s="37"/>
    </row>
    <row r="972">
      <c r="L972" s="37"/>
      <c r="M972" s="37"/>
      <c r="N972" s="37"/>
      <c r="O972" s="37"/>
    </row>
    <row r="973">
      <c r="L973" s="37"/>
      <c r="M973" s="37"/>
      <c r="N973" s="37"/>
      <c r="O973" s="37"/>
    </row>
    <row r="974">
      <c r="L974" s="37"/>
      <c r="M974" s="37"/>
      <c r="N974" s="37"/>
      <c r="O974" s="37"/>
    </row>
    <row r="975">
      <c r="L975" s="37"/>
      <c r="M975" s="37"/>
      <c r="N975" s="37"/>
      <c r="O975" s="37"/>
    </row>
    <row r="976">
      <c r="L976" s="37"/>
      <c r="M976" s="37"/>
      <c r="N976" s="37"/>
      <c r="O976" s="37"/>
    </row>
    <row r="977">
      <c r="L977" s="37"/>
      <c r="M977" s="37"/>
      <c r="N977" s="37"/>
      <c r="O977" s="37"/>
    </row>
    <row r="978">
      <c r="L978" s="37"/>
      <c r="M978" s="37"/>
      <c r="N978" s="37"/>
      <c r="O978" s="37"/>
    </row>
    <row r="979">
      <c r="L979" s="37"/>
      <c r="M979" s="37"/>
      <c r="N979" s="37"/>
      <c r="O979" s="37"/>
    </row>
    <row r="980">
      <c r="L980" s="37"/>
      <c r="M980" s="37"/>
      <c r="N980" s="37"/>
      <c r="O980" s="37"/>
    </row>
    <row r="981">
      <c r="L981" s="37"/>
      <c r="M981" s="37"/>
      <c r="N981" s="37"/>
      <c r="O981" s="37"/>
    </row>
    <row r="982">
      <c r="L982" s="37"/>
      <c r="M982" s="37"/>
      <c r="N982" s="37"/>
      <c r="O982" s="37"/>
    </row>
    <row r="983">
      <c r="L983" s="37"/>
      <c r="M983" s="37"/>
      <c r="N983" s="37"/>
      <c r="O983" s="37"/>
    </row>
    <row r="984">
      <c r="L984" s="37"/>
      <c r="M984" s="37"/>
      <c r="N984" s="37"/>
      <c r="O984" s="37"/>
    </row>
    <row r="985">
      <c r="L985" s="37"/>
      <c r="M985" s="37"/>
      <c r="N985" s="37"/>
      <c r="O985" s="37"/>
    </row>
    <row r="986">
      <c r="L986" s="37"/>
      <c r="M986" s="37"/>
      <c r="N986" s="37"/>
      <c r="O986" s="37"/>
    </row>
    <row r="987">
      <c r="L987" s="37"/>
      <c r="M987" s="37"/>
      <c r="N987" s="37"/>
      <c r="O987" s="37"/>
    </row>
    <row r="988">
      <c r="L988" s="37"/>
      <c r="M988" s="37"/>
      <c r="N988" s="37"/>
      <c r="O988" s="37"/>
    </row>
    <row r="989">
      <c r="L989" s="37"/>
      <c r="M989" s="37"/>
      <c r="N989" s="37"/>
      <c r="O989" s="37"/>
    </row>
    <row r="990">
      <c r="L990" s="37"/>
      <c r="M990" s="37"/>
      <c r="N990" s="37"/>
      <c r="O990" s="37"/>
    </row>
    <row r="991">
      <c r="L991" s="37"/>
      <c r="M991" s="37"/>
      <c r="N991" s="37"/>
      <c r="O991" s="37"/>
    </row>
    <row r="992">
      <c r="L992" s="37"/>
      <c r="M992" s="37"/>
      <c r="N992" s="37"/>
      <c r="O992" s="37"/>
    </row>
    <row r="993">
      <c r="L993" s="37"/>
      <c r="M993" s="37"/>
      <c r="N993" s="37"/>
      <c r="O993" s="37"/>
    </row>
    <row r="994">
      <c r="L994" s="37"/>
      <c r="M994" s="37"/>
      <c r="N994" s="37"/>
      <c r="O994" s="37"/>
    </row>
    <row r="995">
      <c r="L995" s="37"/>
      <c r="M995" s="37"/>
      <c r="N995" s="37"/>
      <c r="O995" s="37"/>
    </row>
    <row r="996">
      <c r="L996" s="37"/>
      <c r="M996" s="37"/>
      <c r="N996" s="37"/>
      <c r="O996" s="37"/>
    </row>
    <row r="997">
      <c r="L997" s="37"/>
      <c r="M997" s="37"/>
      <c r="N997" s="37"/>
      <c r="O997" s="37"/>
    </row>
    <row r="998">
      <c r="L998" s="37"/>
      <c r="M998" s="37"/>
      <c r="N998" s="37"/>
      <c r="O998" s="37"/>
    </row>
    <row r="999">
      <c r="L999" s="37"/>
      <c r="M999" s="37"/>
      <c r="N999" s="37"/>
      <c r="O999" s="37"/>
    </row>
    <row r="1000">
      <c r="L1000" s="37"/>
      <c r="M1000" s="37"/>
      <c r="N1000" s="37"/>
      <c r="O1000" s="3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63"/>
  </cols>
  <sheetData>
    <row r="2">
      <c r="A2" s="1" t="s">
        <v>797</v>
      </c>
      <c r="E2" s="1" t="s">
        <v>798</v>
      </c>
    </row>
    <row r="3">
      <c r="A3" s="1" t="s">
        <v>799</v>
      </c>
    </row>
    <row r="4">
      <c r="A4" s="1" t="s">
        <v>801</v>
      </c>
      <c r="B4" s="1" t="s">
        <v>803</v>
      </c>
    </row>
    <row r="5">
      <c r="B5" s="1" t="s">
        <v>805</v>
      </c>
    </row>
    <row r="6">
      <c r="A6" s="1" t="s">
        <v>806</v>
      </c>
    </row>
    <row r="7">
      <c r="A7" s="1" t="s">
        <v>808</v>
      </c>
    </row>
    <row r="8">
      <c r="A8" s="1" t="s">
        <v>809</v>
      </c>
      <c r="B8" s="1" t="s">
        <v>810</v>
      </c>
    </row>
    <row r="9">
      <c r="A9" s="1" t="s">
        <v>812</v>
      </c>
    </row>
    <row r="10">
      <c r="A10" s="1" t="s">
        <v>813</v>
      </c>
    </row>
    <row r="11">
      <c r="A11" s="1" t="s">
        <v>816</v>
      </c>
      <c r="B11" s="1" t="s">
        <v>817</v>
      </c>
    </row>
    <row r="12">
      <c r="A12" s="1" t="s">
        <v>819</v>
      </c>
    </row>
    <row r="13">
      <c r="A13" s="1" t="s">
        <v>821</v>
      </c>
    </row>
    <row r="14">
      <c r="A14" s="1" t="s">
        <v>823</v>
      </c>
    </row>
    <row r="15">
      <c r="A15" s="1" t="s">
        <v>824</v>
      </c>
    </row>
    <row r="17">
      <c r="A17" s="1" t="s">
        <v>826</v>
      </c>
    </row>
    <row r="20">
      <c r="A20" s="1" t="s">
        <v>828</v>
      </c>
    </row>
    <row r="23">
      <c r="A23" s="1" t="s">
        <v>830</v>
      </c>
    </row>
    <row r="24">
      <c r="A24" s="1" t="s">
        <v>832</v>
      </c>
    </row>
    <row r="25">
      <c r="A25" s="1" t="s">
        <v>834</v>
      </c>
    </row>
  </sheetData>
  <drawing r:id="rId1"/>
</worksheet>
</file>